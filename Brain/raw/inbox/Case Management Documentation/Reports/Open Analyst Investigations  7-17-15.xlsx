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3135" yWindow="0" windowWidth="11250" windowHeight="2355"/>
  </bookViews>
  <sheets>
    <sheet name="SNAPSHOT" sheetId="2" r:id="rId1"/>
    <sheet name="ALL" sheetId="1" r:id="rId2"/>
    <sheet name="Sheet1" sheetId="3" r:id="rId3"/>
  </sheets>
  <definedNames>
    <definedName name="_xlnm._FilterDatabase" localSheetId="1" hidden="1">ALL!$A$2:$W$110</definedName>
    <definedName name="_xlnm.Print_Area" localSheetId="1">ALL!$A$1:$K$2</definedName>
    <definedName name="_xlnm.Print_Area" localSheetId="0">SNAPSHOT!$A$1:$G$23</definedName>
  </definedNames>
  <calcPr calcId="145621"/>
</workbook>
</file>

<file path=xl/calcChain.xml><?xml version="1.0" encoding="utf-8"?>
<calcChain xmlns="http://schemas.openxmlformats.org/spreadsheetml/2006/main">
  <c r="F56" i="1" l="1"/>
  <c r="F59" i="1"/>
  <c r="F24" i="1"/>
  <c r="F69" i="1"/>
  <c r="F70" i="1"/>
  <c r="F71" i="1"/>
  <c r="F61" i="1"/>
  <c r="F3" i="1"/>
  <c r="F74" i="1"/>
  <c r="F9" i="1"/>
  <c r="F42" i="1"/>
  <c r="F7" i="1"/>
  <c r="F55" i="1"/>
  <c r="F43" i="1"/>
  <c r="F44" i="1"/>
  <c r="F28" i="1"/>
  <c r="F54" i="1"/>
  <c r="F52" i="1"/>
  <c r="F49" i="1"/>
  <c r="F51" i="1"/>
  <c r="F27" i="1"/>
  <c r="F25" i="1"/>
  <c r="F29" i="1"/>
  <c r="F38" i="1"/>
  <c r="F62" i="1"/>
  <c r="F63" i="1"/>
  <c r="F39" i="1"/>
  <c r="F40" i="1"/>
  <c r="F66" i="1"/>
  <c r="F60" i="1"/>
  <c r="F5" i="1"/>
  <c r="F22" i="1"/>
  <c r="F64" i="1"/>
  <c r="F36" i="1"/>
  <c r="F73" i="1"/>
  <c r="F8" i="1"/>
  <c r="F46" i="1"/>
  <c r="F72" i="1"/>
  <c r="F21" i="1"/>
  <c r="F10" i="1"/>
  <c r="F37" i="1"/>
  <c r="F45" i="1"/>
  <c r="F4" i="1"/>
  <c r="F65" i="1"/>
  <c r="F47" i="1"/>
  <c r="F33" i="1"/>
  <c r="F30" i="1"/>
  <c r="F31" i="1"/>
  <c r="F32" i="1"/>
  <c r="F67" i="1"/>
  <c r="F68" i="1"/>
  <c r="F34" i="1"/>
  <c r="F35" i="1"/>
  <c r="F26" i="1"/>
  <c r="F41" i="1"/>
  <c r="F58" i="1"/>
  <c r="F11" i="1"/>
  <c r="F12" i="1"/>
  <c r="F13" i="1"/>
  <c r="F14" i="1"/>
  <c r="F15" i="1"/>
  <c r="F16" i="1"/>
  <c r="F17" i="1"/>
  <c r="F18" i="1"/>
  <c r="F19" i="1"/>
  <c r="F20" i="1"/>
  <c r="F6" i="1"/>
  <c r="F23" i="1"/>
  <c r="F57" i="1"/>
  <c r="F75" i="1"/>
  <c r="F53" i="1"/>
  <c r="F48" i="1"/>
  <c r="F50" i="1"/>
  <c r="D21" i="2" l="1"/>
  <c r="C16" i="2" l="1"/>
  <c r="E21" i="2" l="1"/>
  <c r="D16" i="2"/>
</calcChain>
</file>

<file path=xl/sharedStrings.xml><?xml version="1.0" encoding="utf-8"?>
<sst xmlns="http://schemas.openxmlformats.org/spreadsheetml/2006/main" count="665" uniqueCount="233">
  <si>
    <t>Store</t>
  </si>
  <si>
    <t>Associate</t>
  </si>
  <si>
    <t>Date Entered</t>
  </si>
  <si>
    <t>Aged Leads:</t>
  </si>
  <si>
    <t>Region</t>
  </si>
  <si>
    <t>District</t>
  </si>
  <si>
    <t>Days Aged</t>
  </si>
  <si>
    <t>MethodOfOperation</t>
  </si>
  <si>
    <t xml:space="preserve">Region </t>
  </si>
  <si>
    <t>RLPD</t>
  </si>
  <si>
    <t xml:space="preserve">Open </t>
  </si>
  <si>
    <t>Total</t>
  </si>
  <si>
    <t>This Week</t>
  </si>
  <si>
    <t xml:space="preserve">Last Week </t>
  </si>
  <si>
    <t>Open AI's by Region</t>
  </si>
  <si>
    <t>Case#</t>
  </si>
  <si>
    <t xml:space="preserve">Assigned To </t>
  </si>
  <si>
    <t>Cheng</t>
  </si>
  <si>
    <t>Hunter</t>
  </si>
  <si>
    <t>del Aguila</t>
  </si>
  <si>
    <t>Clayton</t>
  </si>
  <si>
    <t>Incident Date</t>
  </si>
  <si>
    <t>Conaway</t>
  </si>
  <si>
    <t>Director</t>
  </si>
  <si>
    <t>Incident Type</t>
  </si>
  <si>
    <t>Case Status</t>
  </si>
  <si>
    <t>DLPM</t>
  </si>
  <si>
    <t>Name</t>
  </si>
  <si>
    <t>Compliant Investigations 0-30 days</t>
  </si>
  <si>
    <t>Jackson</t>
  </si>
  <si>
    <t>Date Created</t>
  </si>
  <si>
    <t>Status</t>
  </si>
  <si>
    <t>Analyst</t>
  </si>
  <si>
    <t>Director Intervention Investigations 31-99 days</t>
  </si>
  <si>
    <t>Brand Risk Investigations 100 days and older</t>
  </si>
  <si>
    <t xml:space="preserve"> </t>
  </si>
  <si>
    <t xml:space="preserve">Directors follow up, approve, and close: (Go into the investigation and select the Case Complete Yes tab) </t>
  </si>
  <si>
    <t>Open</t>
  </si>
  <si>
    <t xml:space="preserve">Mague, Amanda </t>
  </si>
  <si>
    <t>Gift Card Fraud</t>
  </si>
  <si>
    <t>Parsons</t>
  </si>
  <si>
    <t>Scorecard Own Account/Friends</t>
  </si>
  <si>
    <t>Unauthorized Markdowns</t>
  </si>
  <si>
    <t xml:space="preserve">Gumbert, Joshua </t>
  </si>
  <si>
    <t>Extending Employee Discount</t>
  </si>
  <si>
    <t>Misc</t>
  </si>
  <si>
    <t>DC/F&amp;S/CORP</t>
  </si>
  <si>
    <t xml:space="preserve">Halbur, Bryan </t>
  </si>
  <si>
    <t xml:space="preserve">Boston, Kenneth </t>
  </si>
  <si>
    <t xml:space="preserve">Acevedo, Raymond </t>
  </si>
  <si>
    <t>Brunker, Brian K</t>
  </si>
  <si>
    <t xml:space="preserve">Ruport, Jessica </t>
  </si>
  <si>
    <t xml:space="preserve">Keisler, Jennifer </t>
  </si>
  <si>
    <t xml:space="preserve">Disalvo, Vincent </t>
  </si>
  <si>
    <t xml:space="preserve">Spears, Andrew </t>
  </si>
  <si>
    <t>AI-15-00280-1</t>
  </si>
  <si>
    <t xml:space="preserve">Mason, Paige Rose </t>
  </si>
  <si>
    <t>AI-15-00319-5</t>
  </si>
  <si>
    <t xml:space="preserve">Griffin Jr, Lamont Taraine </t>
  </si>
  <si>
    <t>AI-15-01108-2</t>
  </si>
  <si>
    <t xml:space="preserve">Tran, Justin T </t>
  </si>
  <si>
    <t>AI-15-01178-2</t>
  </si>
  <si>
    <t xml:space="preserve">Strauser, Kyle A </t>
  </si>
  <si>
    <t xml:space="preserve">Tomassi, Tony </t>
  </si>
  <si>
    <t>AI-15-00115-1</t>
  </si>
  <si>
    <t xml:space="preserve">Hansle, Amanda Renee </t>
  </si>
  <si>
    <t>Christman, Matt C</t>
  </si>
  <si>
    <t xml:space="preserve">Buckley, Carrie </t>
  </si>
  <si>
    <t>AI-15-00116-2</t>
  </si>
  <si>
    <t xml:space="preserve">Rucker, Christian </t>
  </si>
  <si>
    <t>AI-15-00119-1</t>
  </si>
  <si>
    <t xml:space="preserve">Bishop, Makayla </t>
  </si>
  <si>
    <t>AI-15-00235-2</t>
  </si>
  <si>
    <t xml:space="preserve">Couch, Allison Kaye </t>
  </si>
  <si>
    <t xml:space="preserve">Saunders, Keith </t>
  </si>
  <si>
    <t xml:space="preserve">Warmbrod, James </t>
  </si>
  <si>
    <t>Gamboa, Kathy L</t>
  </si>
  <si>
    <t>AI-15-00728-1</t>
  </si>
  <si>
    <t xml:space="preserve">Bradshaw, Sharon Ann </t>
  </si>
  <si>
    <t xml:space="preserve">Mueller, Ryan </t>
  </si>
  <si>
    <t>AI-15-00704-1</t>
  </si>
  <si>
    <t xml:space="preserve">Jones, Kassidy Elisabe </t>
  </si>
  <si>
    <t>Violation of Compnay Policy</t>
  </si>
  <si>
    <t>AI-15-01025-2</t>
  </si>
  <si>
    <t xml:space="preserve">Reyes, Anthony Edward </t>
  </si>
  <si>
    <t>Scorecard Metrics</t>
  </si>
  <si>
    <t xml:space="preserve">Miller, Charles </t>
  </si>
  <si>
    <t>AI-15-00081-3</t>
  </si>
  <si>
    <t xml:space="preserve">Spade, Alexa </t>
  </si>
  <si>
    <t>AI-15-01025-3</t>
  </si>
  <si>
    <t xml:space="preserve">Frame, Cody Dillon </t>
  </si>
  <si>
    <t>AI-15-00612-1</t>
  </si>
  <si>
    <t xml:space="preserve">Legan, Andrew </t>
  </si>
  <si>
    <t xml:space="preserve">Rayski, Joseph </t>
  </si>
  <si>
    <t>Credit Card Fraud Internal</t>
  </si>
  <si>
    <t>AI-15-00208-12</t>
  </si>
  <si>
    <t xml:space="preserve">Baer, Jeffrey R </t>
  </si>
  <si>
    <t>AI-15-00217-1</t>
  </si>
  <si>
    <t xml:space="preserve">Willingham, Jordan Love </t>
  </si>
  <si>
    <t>AI-15-00131-1</t>
  </si>
  <si>
    <t xml:space="preserve">Harris, Gregory Todd </t>
  </si>
  <si>
    <t xml:space="preserve">DeGlopper, Andrew </t>
  </si>
  <si>
    <t>AI-15-00295-3</t>
  </si>
  <si>
    <t xml:space="preserve">Stoll, Tyler </t>
  </si>
  <si>
    <t>AI-15-00089-2</t>
  </si>
  <si>
    <t xml:space="preserve">Moise, Jalesa Raquel </t>
  </si>
  <si>
    <t>Cleary, Brian L</t>
  </si>
  <si>
    <t>AI-15-00093-1</t>
  </si>
  <si>
    <t xml:space="preserve">Patalinghug, Ray Axl Dela-Ce </t>
  </si>
  <si>
    <t xml:space="preserve">Kimbrough, Mike </t>
  </si>
  <si>
    <t>AI-15-00146-1</t>
  </si>
  <si>
    <t xml:space="preserve">Phillips, Ellen R </t>
  </si>
  <si>
    <t>AI-15-00412-2</t>
  </si>
  <si>
    <t xml:space="preserve">Lewis, Adam </t>
  </si>
  <si>
    <t xml:space="preserve">Albers, Lisa </t>
  </si>
  <si>
    <t>AI-15-00452-2</t>
  </si>
  <si>
    <t xml:space="preserve">Kelly, George </t>
  </si>
  <si>
    <t>AI-15-01201-1</t>
  </si>
  <si>
    <t xml:space="preserve">Riggs, Kailei Alysse </t>
  </si>
  <si>
    <t>AI-15-03004-1</t>
  </si>
  <si>
    <t xml:space="preserve">Jodarski, Peter </t>
  </si>
  <si>
    <t>AI-15-00235-3</t>
  </si>
  <si>
    <t xml:space="preserve">Bolfa, Halli Lynn </t>
  </si>
  <si>
    <t>AI-15-00235-4</t>
  </si>
  <si>
    <t xml:space="preserve">Hebeishy, Omar </t>
  </si>
  <si>
    <t>AI-15-00283-5</t>
  </si>
  <si>
    <t xml:space="preserve">Jones, Cody M </t>
  </si>
  <si>
    <t xml:space="preserve">Gunning, Frank </t>
  </si>
  <si>
    <t>AI-15-00290-2</t>
  </si>
  <si>
    <t xml:space="preserve">CARPERTER, T'CHYNNA KABRI </t>
  </si>
  <si>
    <t>AI-15-00324-1</t>
  </si>
  <si>
    <t xml:space="preserve">Aceves, Calia Joel </t>
  </si>
  <si>
    <t xml:space="preserve">Byrnes, Courtney </t>
  </si>
  <si>
    <t>AI-15-00325-2</t>
  </si>
  <si>
    <t xml:space="preserve">Brady, Donna </t>
  </si>
  <si>
    <t>AI-15-00365-1</t>
  </si>
  <si>
    <t xml:space="preserve">Irra, Gabriela </t>
  </si>
  <si>
    <t xml:space="preserve">Link, Jason </t>
  </si>
  <si>
    <t>AI-15-00624-1</t>
  </si>
  <si>
    <t xml:space="preserve">Block, Tracee Michelle </t>
  </si>
  <si>
    <t xml:space="preserve">Gustafson, Jason </t>
  </si>
  <si>
    <t>AI-15-00684-1</t>
  </si>
  <si>
    <t xml:space="preserve">Orozco, Alek </t>
  </si>
  <si>
    <t xml:space="preserve">Houting, Gregory </t>
  </si>
  <si>
    <t>AI-15-03060-1</t>
  </si>
  <si>
    <t xml:space="preserve">Casebeer, Alexander N </t>
  </si>
  <si>
    <t xml:space="preserve">Alexander, Casey </t>
  </si>
  <si>
    <t>AI-15-00704-2</t>
  </si>
  <si>
    <t xml:space="preserve">McIntosh, Renee Ann </t>
  </si>
  <si>
    <t>AI-15-01025-4</t>
  </si>
  <si>
    <t xml:space="preserve">Abrantes, Eduarda </t>
  </si>
  <si>
    <t>AI-15-01028-2</t>
  </si>
  <si>
    <t xml:space="preserve">Toma, Lindsay </t>
  </si>
  <si>
    <t xml:space="preserve">Interiano, Juan </t>
  </si>
  <si>
    <t>AI-15-01039-1</t>
  </si>
  <si>
    <t xml:space="preserve">Birch, Megan </t>
  </si>
  <si>
    <t>Meins, Josh D</t>
  </si>
  <si>
    <t>AI-15-01047-2</t>
  </si>
  <si>
    <t xml:space="preserve">Hudson, karli kae </t>
  </si>
  <si>
    <t xml:space="preserve">Pierce, Jessica </t>
  </si>
  <si>
    <t>AI-15-01075-1</t>
  </si>
  <si>
    <t xml:space="preserve">Daniels, KeAndra </t>
  </si>
  <si>
    <t xml:space="preserve">Counts, Tom </t>
  </si>
  <si>
    <t>AI-15-03060-2</t>
  </si>
  <si>
    <t xml:space="preserve">Nichting, Mark T </t>
  </si>
  <si>
    <t>AI-15-01093-4</t>
  </si>
  <si>
    <t xml:space="preserve">Hernandez, Thomas Ray </t>
  </si>
  <si>
    <t xml:space="preserve">Johnson, Jim </t>
  </si>
  <si>
    <t>AI-15-01122-2</t>
  </si>
  <si>
    <t xml:space="preserve">Ili, Kylie Teuila </t>
  </si>
  <si>
    <t>AI-15-01168-1</t>
  </si>
  <si>
    <t xml:space="preserve">Rodriguez, Michael Julian </t>
  </si>
  <si>
    <t>AI-15-03089-1</t>
  </si>
  <si>
    <t xml:space="preserve">Hollen, Larry Thomas </t>
  </si>
  <si>
    <t>AI-15-03017-2</t>
  </si>
  <si>
    <t xml:space="preserve">Quinn, Andrew Patrick </t>
  </si>
  <si>
    <t xml:space="preserve">So, James </t>
  </si>
  <si>
    <t>AI-15-03019-1</t>
  </si>
  <si>
    <t xml:space="preserve">Kravets, Anthony Julian </t>
  </si>
  <si>
    <t>AI-15-03019-2</t>
  </si>
  <si>
    <t xml:space="preserve">Leonard, Joel </t>
  </si>
  <si>
    <t>AI-15-03019-3</t>
  </si>
  <si>
    <t xml:space="preserve">Szkodyn, Mark </t>
  </si>
  <si>
    <t>AI-15-03074-1</t>
  </si>
  <si>
    <t xml:space="preserve">Colberg, Ingrid </t>
  </si>
  <si>
    <t>AI-15-03074-2</t>
  </si>
  <si>
    <t xml:space="preserve">Whitney, Megan </t>
  </si>
  <si>
    <t>AI-15-03001-1</t>
  </si>
  <si>
    <t xml:space="preserve">Yackley, Spencer </t>
  </si>
  <si>
    <t>AI-15-03003-1</t>
  </si>
  <si>
    <t xml:space="preserve">YOSHIKAWA, THOMAS </t>
  </si>
  <si>
    <t>AI-15-00412-3</t>
  </si>
  <si>
    <t xml:space="preserve">Dean, Samantha M. </t>
  </si>
  <si>
    <t>AI-15-00414-2</t>
  </si>
  <si>
    <t xml:space="preserve">Fernandez, Daniel </t>
  </si>
  <si>
    <t>AI-15-00105-3</t>
  </si>
  <si>
    <t xml:space="preserve">Rhodes, Shawn C </t>
  </si>
  <si>
    <t>OPEN AI's 2/1/15-7/17/2015</t>
  </si>
  <si>
    <t>AI-15-00429-2</t>
  </si>
  <si>
    <t xml:space="preserve">Lofgreen, James Clement </t>
  </si>
  <si>
    <t>AI-15-00429-3</t>
  </si>
  <si>
    <t xml:space="preserve">Grass, Michael LeRoy </t>
  </si>
  <si>
    <t>AI-15-00429-4</t>
  </si>
  <si>
    <t xml:space="preserve">Williams, Hannah Rose </t>
  </si>
  <si>
    <t>AI-15-00429-5</t>
  </si>
  <si>
    <t xml:space="preserve">Blanchette, Ian Warren </t>
  </si>
  <si>
    <t>AI-15-00429-6</t>
  </si>
  <si>
    <t xml:space="preserve">Gomez, Andrew James </t>
  </si>
  <si>
    <t>AI-15-00429-7</t>
  </si>
  <si>
    <t xml:space="preserve">Skidmore, David Claude Cl </t>
  </si>
  <si>
    <t>AI-15-00429-8</t>
  </si>
  <si>
    <t xml:space="preserve">Graham, Alexander Rober </t>
  </si>
  <si>
    <t>AI-15-00429-9</t>
  </si>
  <si>
    <t xml:space="preserve">Nelson, Monica Lynn </t>
  </si>
  <si>
    <t>AI-15-00429-10</t>
  </si>
  <si>
    <t xml:space="preserve">Eliot, Ronald Scott </t>
  </si>
  <si>
    <t>AI-15-00429-11</t>
  </si>
  <si>
    <t xml:space="preserve">Michaels, Bethany Lyn </t>
  </si>
  <si>
    <t>AI-15-01026-2</t>
  </si>
  <si>
    <t xml:space="preserve">Roshnaye, Sayed Anwar </t>
  </si>
  <si>
    <t>AI-15-00378-2</t>
  </si>
  <si>
    <t xml:space="preserve">Benda, Taylor Rolland </t>
  </si>
  <si>
    <t>AI-15-01108-3</t>
  </si>
  <si>
    <t xml:space="preserve">Ross, Courtney </t>
  </si>
  <si>
    <t>AI-15-03040-1</t>
  </si>
  <si>
    <t xml:space="preserve">Eberstein, Ryan Marshall </t>
  </si>
  <si>
    <t xml:space="preserve">Oliveaux, Bobby </t>
  </si>
  <si>
    <t>AI-15-00030-1</t>
  </si>
  <si>
    <t xml:space="preserve">Dietz, John R </t>
  </si>
  <si>
    <t xml:space="preserve">Faulise, Robert </t>
  </si>
  <si>
    <t>Theft of Merchandise</t>
  </si>
  <si>
    <t>AI-15-01012-3</t>
  </si>
  <si>
    <t xml:space="preserve">Unknown,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</si>
</sst>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8"/>
      <name val="MS Sans Serif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Segoe UI"/>
      <family val="2"/>
    </font>
    <font>
      <b/>
      <sz val="12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indexed="9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0" tint="-0.14996795556505021"/>
      </left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 style="medium">
        <color indexed="22"/>
      </right>
      <top/>
      <bottom style="medium">
        <color indexed="22"/>
      </bottom>
      <diagonal/>
    </border>
    <border>
      <left style="medium">
        <color indexed="22"/>
      </left>
      <right style="medium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 tint="-0.24994659260841701"/>
      </right>
      <top style="medium">
        <color indexed="64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indexed="64"/>
      </top>
      <bottom/>
      <diagonal/>
    </border>
    <border>
      <left style="medium">
        <color theme="0" tint="-0.2499465926084170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827">
    <xf numFmtId="0" fontId="0" fillId="0" borderId="0"/>
    <xf numFmtId="0" fontId="52" fillId="2" borderId="0" applyNumberFormat="0" applyBorder="0" applyAlignment="0" applyProtection="0"/>
    <xf numFmtId="0" fontId="70" fillId="24" borderId="0" applyNumberFormat="0" applyBorder="0" applyAlignment="0" applyProtection="0"/>
    <xf numFmtId="0" fontId="70" fillId="24" borderId="0" applyNumberFormat="0" applyBorder="0" applyAlignment="0" applyProtection="0"/>
    <xf numFmtId="0" fontId="70" fillId="24" borderId="0" applyNumberFormat="0" applyBorder="0" applyAlignment="0" applyProtection="0"/>
    <xf numFmtId="0" fontId="52" fillId="3" borderId="0" applyNumberFormat="0" applyBorder="0" applyAlignment="0" applyProtection="0"/>
    <xf numFmtId="0" fontId="70" fillId="25" borderId="0" applyNumberFormat="0" applyBorder="0" applyAlignment="0" applyProtection="0"/>
    <xf numFmtId="0" fontId="70" fillId="25" borderId="0" applyNumberFormat="0" applyBorder="0" applyAlignment="0" applyProtection="0"/>
    <xf numFmtId="0" fontId="70" fillId="25" borderId="0" applyNumberFormat="0" applyBorder="0" applyAlignment="0" applyProtection="0"/>
    <xf numFmtId="0" fontId="52" fillId="4" borderId="0" applyNumberFormat="0" applyBorder="0" applyAlignment="0" applyProtection="0"/>
    <xf numFmtId="0" fontId="70" fillId="26" borderId="0" applyNumberFormat="0" applyBorder="0" applyAlignment="0" applyProtection="0"/>
    <xf numFmtId="0" fontId="70" fillId="26" borderId="0" applyNumberFormat="0" applyBorder="0" applyAlignment="0" applyProtection="0"/>
    <xf numFmtId="0" fontId="70" fillId="26" borderId="0" applyNumberFormat="0" applyBorder="0" applyAlignment="0" applyProtection="0"/>
    <xf numFmtId="0" fontId="52" fillId="5" borderId="0" applyNumberFormat="0" applyBorder="0" applyAlignment="0" applyProtection="0"/>
    <xf numFmtId="0" fontId="70" fillId="27" borderId="0" applyNumberFormat="0" applyBorder="0" applyAlignment="0" applyProtection="0"/>
    <xf numFmtId="0" fontId="70" fillId="27" borderId="0" applyNumberFormat="0" applyBorder="0" applyAlignment="0" applyProtection="0"/>
    <xf numFmtId="0" fontId="70" fillId="27" borderId="0" applyNumberFormat="0" applyBorder="0" applyAlignment="0" applyProtection="0"/>
    <xf numFmtId="0" fontId="52" fillId="6" borderId="0" applyNumberFormat="0" applyBorder="0" applyAlignment="0" applyProtection="0"/>
    <xf numFmtId="0" fontId="70" fillId="28" borderId="0" applyNumberFormat="0" applyBorder="0" applyAlignment="0" applyProtection="0"/>
    <xf numFmtId="0" fontId="70" fillId="28" borderId="0" applyNumberFormat="0" applyBorder="0" applyAlignment="0" applyProtection="0"/>
    <xf numFmtId="0" fontId="70" fillId="28" borderId="0" applyNumberFormat="0" applyBorder="0" applyAlignment="0" applyProtection="0"/>
    <xf numFmtId="0" fontId="52" fillId="7" borderId="0" applyNumberFormat="0" applyBorder="0" applyAlignment="0" applyProtection="0"/>
    <xf numFmtId="0" fontId="70" fillId="29" borderId="0" applyNumberFormat="0" applyBorder="0" applyAlignment="0" applyProtection="0"/>
    <xf numFmtId="0" fontId="70" fillId="29" borderId="0" applyNumberFormat="0" applyBorder="0" applyAlignment="0" applyProtection="0"/>
    <xf numFmtId="0" fontId="70" fillId="29" borderId="0" applyNumberFormat="0" applyBorder="0" applyAlignment="0" applyProtection="0"/>
    <xf numFmtId="0" fontId="52" fillId="8" borderId="0" applyNumberFormat="0" applyBorder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52" fillId="9" borderId="0" applyNumberFormat="0" applyBorder="0" applyAlignment="0" applyProtection="0"/>
    <xf numFmtId="0" fontId="70" fillId="31" borderId="0" applyNumberFormat="0" applyBorder="0" applyAlignment="0" applyProtection="0"/>
    <xf numFmtId="0" fontId="70" fillId="31" borderId="0" applyNumberFormat="0" applyBorder="0" applyAlignment="0" applyProtection="0"/>
    <xf numFmtId="0" fontId="70" fillId="31" borderId="0" applyNumberFormat="0" applyBorder="0" applyAlignment="0" applyProtection="0"/>
    <xf numFmtId="0" fontId="52" fillId="10" borderId="0" applyNumberFormat="0" applyBorder="0" applyAlignment="0" applyProtection="0"/>
    <xf numFmtId="0" fontId="70" fillId="32" borderId="0" applyNumberFormat="0" applyBorder="0" applyAlignment="0" applyProtection="0"/>
    <xf numFmtId="0" fontId="70" fillId="32" borderId="0" applyNumberFormat="0" applyBorder="0" applyAlignment="0" applyProtection="0"/>
    <xf numFmtId="0" fontId="70" fillId="32" borderId="0" applyNumberFormat="0" applyBorder="0" applyAlignment="0" applyProtection="0"/>
    <xf numFmtId="0" fontId="52" fillId="5" borderId="0" applyNumberFormat="0" applyBorder="0" applyAlignment="0" applyProtection="0"/>
    <xf numFmtId="0" fontId="70" fillId="33" borderId="0" applyNumberFormat="0" applyBorder="0" applyAlignment="0" applyProtection="0"/>
    <xf numFmtId="0" fontId="70" fillId="33" borderId="0" applyNumberFormat="0" applyBorder="0" applyAlignment="0" applyProtection="0"/>
    <xf numFmtId="0" fontId="70" fillId="33" borderId="0" applyNumberFormat="0" applyBorder="0" applyAlignment="0" applyProtection="0"/>
    <xf numFmtId="0" fontId="52" fillId="8" borderId="0" applyNumberFormat="0" applyBorder="0" applyAlignment="0" applyProtection="0"/>
    <xf numFmtId="0" fontId="70" fillId="34" borderId="0" applyNumberFormat="0" applyBorder="0" applyAlignment="0" applyProtection="0"/>
    <xf numFmtId="0" fontId="70" fillId="34" borderId="0" applyNumberFormat="0" applyBorder="0" applyAlignment="0" applyProtection="0"/>
    <xf numFmtId="0" fontId="70" fillId="34" borderId="0" applyNumberFormat="0" applyBorder="0" applyAlignment="0" applyProtection="0"/>
    <xf numFmtId="0" fontId="52" fillId="11" borderId="0" applyNumberFormat="0" applyBorder="0" applyAlignment="0" applyProtection="0"/>
    <xf numFmtId="0" fontId="70" fillId="35" borderId="0" applyNumberFormat="0" applyBorder="0" applyAlignment="0" applyProtection="0"/>
    <xf numFmtId="0" fontId="70" fillId="35" borderId="0" applyNumberFormat="0" applyBorder="0" applyAlignment="0" applyProtection="0"/>
    <xf numFmtId="0" fontId="70" fillId="35" borderId="0" applyNumberFormat="0" applyBorder="0" applyAlignment="0" applyProtection="0"/>
    <xf numFmtId="0" fontId="53" fillId="12" borderId="0" applyNumberFormat="0" applyBorder="0" applyAlignment="0" applyProtection="0"/>
    <xf numFmtId="0" fontId="71" fillId="36" borderId="0" applyNumberFormat="0" applyBorder="0" applyAlignment="0" applyProtection="0"/>
    <xf numFmtId="0" fontId="53" fillId="9" borderId="0" applyNumberFormat="0" applyBorder="0" applyAlignment="0" applyProtection="0"/>
    <xf numFmtId="0" fontId="71" fillId="37" borderId="0" applyNumberFormat="0" applyBorder="0" applyAlignment="0" applyProtection="0"/>
    <xf numFmtId="0" fontId="53" fillId="10" borderId="0" applyNumberFormat="0" applyBorder="0" applyAlignment="0" applyProtection="0"/>
    <xf numFmtId="0" fontId="71" fillId="38" borderId="0" applyNumberFormat="0" applyBorder="0" applyAlignment="0" applyProtection="0"/>
    <xf numFmtId="0" fontId="53" fillId="13" borderId="0" applyNumberFormat="0" applyBorder="0" applyAlignment="0" applyProtection="0"/>
    <xf numFmtId="0" fontId="71" fillId="39" borderId="0" applyNumberFormat="0" applyBorder="0" applyAlignment="0" applyProtection="0"/>
    <xf numFmtId="0" fontId="53" fillId="14" borderId="0" applyNumberFormat="0" applyBorder="0" applyAlignment="0" applyProtection="0"/>
    <xf numFmtId="0" fontId="71" fillId="40" borderId="0" applyNumberFormat="0" applyBorder="0" applyAlignment="0" applyProtection="0"/>
    <xf numFmtId="0" fontId="53" fillId="15" borderId="0" applyNumberFormat="0" applyBorder="0" applyAlignment="0" applyProtection="0"/>
    <xf numFmtId="0" fontId="71" fillId="41" borderId="0" applyNumberFormat="0" applyBorder="0" applyAlignment="0" applyProtection="0"/>
    <xf numFmtId="0" fontId="53" fillId="16" borderId="0" applyNumberFormat="0" applyBorder="0" applyAlignment="0" applyProtection="0"/>
    <xf numFmtId="0" fontId="71" fillId="42" borderId="0" applyNumberFormat="0" applyBorder="0" applyAlignment="0" applyProtection="0"/>
    <xf numFmtId="0" fontId="53" fillId="17" borderId="0" applyNumberFormat="0" applyBorder="0" applyAlignment="0" applyProtection="0"/>
    <xf numFmtId="0" fontId="71" fillId="43" borderId="0" applyNumberFormat="0" applyBorder="0" applyAlignment="0" applyProtection="0"/>
    <xf numFmtId="0" fontId="53" fillId="18" borderId="0" applyNumberFormat="0" applyBorder="0" applyAlignment="0" applyProtection="0"/>
    <xf numFmtId="0" fontId="71" fillId="44" borderId="0" applyNumberFormat="0" applyBorder="0" applyAlignment="0" applyProtection="0"/>
    <xf numFmtId="0" fontId="53" fillId="13" borderId="0" applyNumberFormat="0" applyBorder="0" applyAlignment="0" applyProtection="0"/>
    <xf numFmtId="0" fontId="71" fillId="45" borderId="0" applyNumberFormat="0" applyBorder="0" applyAlignment="0" applyProtection="0"/>
    <xf numFmtId="0" fontId="53" fillId="14" borderId="0" applyNumberFormat="0" applyBorder="0" applyAlignment="0" applyProtection="0"/>
    <xf numFmtId="0" fontId="71" fillId="46" borderId="0" applyNumberFormat="0" applyBorder="0" applyAlignment="0" applyProtection="0"/>
    <xf numFmtId="0" fontId="53" fillId="19" borderId="0" applyNumberFormat="0" applyBorder="0" applyAlignment="0" applyProtection="0"/>
    <xf numFmtId="0" fontId="71" fillId="47" borderId="0" applyNumberFormat="0" applyBorder="0" applyAlignment="0" applyProtection="0"/>
    <xf numFmtId="0" fontId="54" fillId="3" borderId="0" applyNumberFormat="0" applyBorder="0" applyAlignment="0" applyProtection="0"/>
    <xf numFmtId="0" fontId="72" fillId="48" borderId="0" applyNumberFormat="0" applyBorder="0" applyAlignment="0" applyProtection="0"/>
    <xf numFmtId="0" fontId="55" fillId="20" borderId="1" applyNumberFormat="0" applyAlignment="0" applyProtection="0"/>
    <xf numFmtId="0" fontId="73" fillId="49" borderId="11" applyNumberFormat="0" applyAlignment="0" applyProtection="0"/>
    <xf numFmtId="0" fontId="56" fillId="21" borderId="2" applyNumberFormat="0" applyAlignment="0" applyProtection="0"/>
    <xf numFmtId="0" fontId="74" fillId="50" borderId="12" applyNumberFormat="0" applyAlignment="0" applyProtection="0"/>
    <xf numFmtId="0" fontId="57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58" fillId="4" borderId="0" applyNumberFormat="0" applyBorder="0" applyAlignment="0" applyProtection="0"/>
    <xf numFmtId="0" fontId="76" fillId="51" borderId="0" applyNumberFormat="0" applyBorder="0" applyAlignment="0" applyProtection="0"/>
    <xf numFmtId="0" fontId="59" fillId="0" borderId="3" applyNumberFormat="0" applyFill="0" applyAlignment="0" applyProtection="0"/>
    <xf numFmtId="0" fontId="77" fillId="0" borderId="13" applyNumberFormat="0" applyFill="0" applyAlignment="0" applyProtection="0"/>
    <xf numFmtId="0" fontId="60" fillId="0" borderId="4" applyNumberFormat="0" applyFill="0" applyAlignment="0" applyProtection="0"/>
    <xf numFmtId="0" fontId="78" fillId="0" borderId="14" applyNumberFormat="0" applyFill="0" applyAlignment="0" applyProtection="0"/>
    <xf numFmtId="0" fontId="61" fillId="0" borderId="5" applyNumberFormat="0" applyFill="0" applyAlignment="0" applyProtection="0"/>
    <xf numFmtId="0" fontId="79" fillId="0" borderId="15" applyNumberFormat="0" applyFill="0" applyAlignment="0" applyProtection="0"/>
    <xf numFmtId="0" fontId="6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2" fillId="7" borderId="1" applyNumberFormat="0" applyAlignment="0" applyProtection="0"/>
    <xf numFmtId="0" fontId="80" fillId="52" borderId="11" applyNumberFormat="0" applyAlignment="0" applyProtection="0"/>
    <xf numFmtId="0" fontId="63" fillId="0" borderId="6" applyNumberFormat="0" applyFill="0" applyAlignment="0" applyProtection="0"/>
    <xf numFmtId="0" fontId="81" fillId="0" borderId="16" applyNumberFormat="0" applyFill="0" applyAlignment="0" applyProtection="0"/>
    <xf numFmtId="0" fontId="64" fillId="22" borderId="0" applyNumberFormat="0" applyBorder="0" applyAlignment="0" applyProtection="0"/>
    <xf numFmtId="0" fontId="82" fillId="53" borderId="0" applyNumberFormat="0" applyBorder="0" applyAlignment="0" applyProtection="0"/>
    <xf numFmtId="0" fontId="70" fillId="0" borderId="0"/>
    <xf numFmtId="0" fontId="70" fillId="0" borderId="0"/>
    <xf numFmtId="0" fontId="70" fillId="0" borderId="0"/>
    <xf numFmtId="0" fontId="50" fillId="23" borderId="7" applyNumberFormat="0" applyFont="0" applyAlignment="0" applyProtection="0"/>
    <xf numFmtId="0" fontId="49" fillId="54" borderId="17" applyNumberFormat="0" applyFont="0" applyAlignment="0" applyProtection="0"/>
    <xf numFmtId="0" fontId="48" fillId="54" borderId="17" applyNumberFormat="0" applyFont="0" applyAlignment="0" applyProtection="0"/>
    <xf numFmtId="0" fontId="47" fillId="54" borderId="17" applyNumberFormat="0" applyFont="0" applyAlignment="0" applyProtection="0"/>
    <xf numFmtId="0" fontId="65" fillId="20" borderId="8" applyNumberFormat="0" applyAlignment="0" applyProtection="0"/>
    <xf numFmtId="0" fontId="83" fillId="49" borderId="18" applyNumberFormat="0" applyAlignment="0" applyProtection="0"/>
    <xf numFmtId="0" fontId="66" fillId="0" borderId="0">
      <alignment vertical="center"/>
    </xf>
    <xf numFmtId="0" fontId="6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68" fillId="0" borderId="9" applyNumberFormat="0" applyFill="0" applyAlignment="0" applyProtection="0"/>
    <xf numFmtId="0" fontId="85" fillId="0" borderId="19" applyNumberFormat="0" applyFill="0" applyAlignment="0" applyProtection="0"/>
    <xf numFmtId="0" fontId="69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46" fillId="0" borderId="0"/>
    <xf numFmtId="0" fontId="46" fillId="54" borderId="17" applyNumberFormat="0" applyFont="0" applyAlignment="0" applyProtection="0"/>
    <xf numFmtId="0" fontId="46" fillId="24" borderId="0" applyNumberFormat="0" applyBorder="0" applyAlignment="0" applyProtection="0"/>
    <xf numFmtId="0" fontId="46" fillId="30" borderId="0" applyNumberFormat="0" applyBorder="0" applyAlignment="0" applyProtection="0"/>
    <xf numFmtId="0" fontId="46" fillId="25" borderId="0" applyNumberFormat="0" applyBorder="0" applyAlignment="0" applyProtection="0"/>
    <xf numFmtId="0" fontId="46" fillId="31" borderId="0" applyNumberFormat="0" applyBorder="0" applyAlignment="0" applyProtection="0"/>
    <xf numFmtId="0" fontId="46" fillId="26" borderId="0" applyNumberFormat="0" applyBorder="0" applyAlignment="0" applyProtection="0"/>
    <xf numFmtId="0" fontId="46" fillId="32" borderId="0" applyNumberFormat="0" applyBorder="0" applyAlignment="0" applyProtection="0"/>
    <xf numFmtId="0" fontId="46" fillId="27" borderId="0" applyNumberFormat="0" applyBorder="0" applyAlignment="0" applyProtection="0"/>
    <xf numFmtId="0" fontId="46" fillId="33" borderId="0" applyNumberFormat="0" applyBorder="0" applyAlignment="0" applyProtection="0"/>
    <xf numFmtId="0" fontId="46" fillId="28" borderId="0" applyNumberFormat="0" applyBorder="0" applyAlignment="0" applyProtection="0"/>
    <xf numFmtId="0" fontId="46" fillId="34" borderId="0" applyNumberFormat="0" applyBorder="0" applyAlignment="0" applyProtection="0"/>
    <xf numFmtId="0" fontId="46" fillId="29" borderId="0" applyNumberFormat="0" applyBorder="0" applyAlignment="0" applyProtection="0"/>
    <xf numFmtId="0" fontId="46" fillId="35" borderId="0" applyNumberFormat="0" applyBorder="0" applyAlignment="0" applyProtection="0"/>
    <xf numFmtId="0" fontId="45" fillId="0" borderId="0"/>
    <xf numFmtId="0" fontId="45" fillId="54" borderId="17" applyNumberFormat="0" applyFont="0" applyAlignment="0" applyProtection="0"/>
    <xf numFmtId="0" fontId="45" fillId="24" borderId="0" applyNumberFormat="0" applyBorder="0" applyAlignment="0" applyProtection="0"/>
    <xf numFmtId="0" fontId="45" fillId="30" borderId="0" applyNumberFormat="0" applyBorder="0" applyAlignment="0" applyProtection="0"/>
    <xf numFmtId="0" fontId="45" fillId="25" borderId="0" applyNumberFormat="0" applyBorder="0" applyAlignment="0" applyProtection="0"/>
    <xf numFmtId="0" fontId="45" fillId="31" borderId="0" applyNumberFormat="0" applyBorder="0" applyAlignment="0" applyProtection="0"/>
    <xf numFmtId="0" fontId="45" fillId="26" borderId="0" applyNumberFormat="0" applyBorder="0" applyAlignment="0" applyProtection="0"/>
    <xf numFmtId="0" fontId="45" fillId="32" borderId="0" applyNumberFormat="0" applyBorder="0" applyAlignment="0" applyProtection="0"/>
    <xf numFmtId="0" fontId="45" fillId="27" borderId="0" applyNumberFormat="0" applyBorder="0" applyAlignment="0" applyProtection="0"/>
    <xf numFmtId="0" fontId="45" fillId="33" borderId="0" applyNumberFormat="0" applyBorder="0" applyAlignment="0" applyProtection="0"/>
    <xf numFmtId="0" fontId="45" fillId="28" borderId="0" applyNumberFormat="0" applyBorder="0" applyAlignment="0" applyProtection="0"/>
    <xf numFmtId="0" fontId="45" fillId="34" borderId="0" applyNumberFormat="0" applyBorder="0" applyAlignment="0" applyProtection="0"/>
    <xf numFmtId="0" fontId="45" fillId="29" borderId="0" applyNumberFormat="0" applyBorder="0" applyAlignment="0" applyProtection="0"/>
    <xf numFmtId="0" fontId="45" fillId="35" borderId="0" applyNumberFormat="0" applyBorder="0" applyAlignment="0" applyProtection="0"/>
    <xf numFmtId="0" fontId="44" fillId="0" borderId="0"/>
    <xf numFmtId="0" fontId="44" fillId="54" borderId="17" applyNumberFormat="0" applyFont="0" applyAlignment="0" applyProtection="0"/>
    <xf numFmtId="0" fontId="44" fillId="24" borderId="0" applyNumberFormat="0" applyBorder="0" applyAlignment="0" applyProtection="0"/>
    <xf numFmtId="0" fontId="44" fillId="30" borderId="0" applyNumberFormat="0" applyBorder="0" applyAlignment="0" applyProtection="0"/>
    <xf numFmtId="0" fontId="44" fillId="25" borderId="0" applyNumberFormat="0" applyBorder="0" applyAlignment="0" applyProtection="0"/>
    <xf numFmtId="0" fontId="44" fillId="31" borderId="0" applyNumberFormat="0" applyBorder="0" applyAlignment="0" applyProtection="0"/>
    <xf numFmtId="0" fontId="44" fillId="26" borderId="0" applyNumberFormat="0" applyBorder="0" applyAlignment="0" applyProtection="0"/>
    <xf numFmtId="0" fontId="44" fillId="32" borderId="0" applyNumberFormat="0" applyBorder="0" applyAlignment="0" applyProtection="0"/>
    <xf numFmtId="0" fontId="44" fillId="27" borderId="0" applyNumberFormat="0" applyBorder="0" applyAlignment="0" applyProtection="0"/>
    <xf numFmtId="0" fontId="44" fillId="33" borderId="0" applyNumberFormat="0" applyBorder="0" applyAlignment="0" applyProtection="0"/>
    <xf numFmtId="0" fontId="44" fillId="28" borderId="0" applyNumberFormat="0" applyBorder="0" applyAlignment="0" applyProtection="0"/>
    <xf numFmtId="0" fontId="44" fillId="34" borderId="0" applyNumberFormat="0" applyBorder="0" applyAlignment="0" applyProtection="0"/>
    <xf numFmtId="0" fontId="44" fillId="29" borderId="0" applyNumberFormat="0" applyBorder="0" applyAlignment="0" applyProtection="0"/>
    <xf numFmtId="0" fontId="44" fillId="35" borderId="0" applyNumberFormat="0" applyBorder="0" applyAlignment="0" applyProtection="0"/>
    <xf numFmtId="0" fontId="43" fillId="0" borderId="0"/>
    <xf numFmtId="0" fontId="43" fillId="54" borderId="17" applyNumberFormat="0" applyFont="0" applyAlignment="0" applyProtection="0"/>
    <xf numFmtId="0" fontId="43" fillId="24" borderId="0" applyNumberFormat="0" applyBorder="0" applyAlignment="0" applyProtection="0"/>
    <xf numFmtId="0" fontId="43" fillId="30" borderId="0" applyNumberFormat="0" applyBorder="0" applyAlignment="0" applyProtection="0"/>
    <xf numFmtId="0" fontId="43" fillId="25" borderId="0" applyNumberFormat="0" applyBorder="0" applyAlignment="0" applyProtection="0"/>
    <xf numFmtId="0" fontId="43" fillId="31" borderId="0" applyNumberFormat="0" applyBorder="0" applyAlignment="0" applyProtection="0"/>
    <xf numFmtId="0" fontId="43" fillId="26" borderId="0" applyNumberFormat="0" applyBorder="0" applyAlignment="0" applyProtection="0"/>
    <xf numFmtId="0" fontId="43" fillId="32" borderId="0" applyNumberFormat="0" applyBorder="0" applyAlignment="0" applyProtection="0"/>
    <xf numFmtId="0" fontId="43" fillId="27" borderId="0" applyNumberFormat="0" applyBorder="0" applyAlignment="0" applyProtection="0"/>
    <xf numFmtId="0" fontId="43" fillId="33" borderId="0" applyNumberFormat="0" applyBorder="0" applyAlignment="0" applyProtection="0"/>
    <xf numFmtId="0" fontId="43" fillId="28" borderId="0" applyNumberFormat="0" applyBorder="0" applyAlignment="0" applyProtection="0"/>
    <xf numFmtId="0" fontId="43" fillId="34" borderId="0" applyNumberFormat="0" applyBorder="0" applyAlignment="0" applyProtection="0"/>
    <xf numFmtId="0" fontId="43" fillId="29" borderId="0" applyNumberFormat="0" applyBorder="0" applyAlignment="0" applyProtection="0"/>
    <xf numFmtId="0" fontId="43" fillId="35" borderId="0" applyNumberFormat="0" applyBorder="0" applyAlignment="0" applyProtection="0"/>
    <xf numFmtId="0" fontId="42" fillId="0" borderId="0"/>
    <xf numFmtId="0" fontId="42" fillId="54" borderId="17" applyNumberFormat="0" applyFont="0" applyAlignment="0" applyProtection="0"/>
    <xf numFmtId="0" fontId="42" fillId="24" borderId="0" applyNumberFormat="0" applyBorder="0" applyAlignment="0" applyProtection="0"/>
    <xf numFmtId="0" fontId="42" fillId="30" borderId="0" applyNumberFormat="0" applyBorder="0" applyAlignment="0" applyProtection="0"/>
    <xf numFmtId="0" fontId="42" fillId="25" borderId="0" applyNumberFormat="0" applyBorder="0" applyAlignment="0" applyProtection="0"/>
    <xf numFmtId="0" fontId="42" fillId="31" borderId="0" applyNumberFormat="0" applyBorder="0" applyAlignment="0" applyProtection="0"/>
    <xf numFmtId="0" fontId="42" fillId="26" borderId="0" applyNumberFormat="0" applyBorder="0" applyAlignment="0" applyProtection="0"/>
    <xf numFmtId="0" fontId="42" fillId="32" borderId="0" applyNumberFormat="0" applyBorder="0" applyAlignment="0" applyProtection="0"/>
    <xf numFmtId="0" fontId="42" fillId="27" borderId="0" applyNumberFormat="0" applyBorder="0" applyAlignment="0" applyProtection="0"/>
    <xf numFmtId="0" fontId="42" fillId="33" borderId="0" applyNumberFormat="0" applyBorder="0" applyAlignment="0" applyProtection="0"/>
    <xf numFmtId="0" fontId="42" fillId="28" borderId="0" applyNumberFormat="0" applyBorder="0" applyAlignment="0" applyProtection="0"/>
    <xf numFmtId="0" fontId="42" fillId="34" borderId="0" applyNumberFormat="0" applyBorder="0" applyAlignment="0" applyProtection="0"/>
    <xf numFmtId="0" fontId="42" fillId="29" borderId="0" applyNumberFormat="0" applyBorder="0" applyAlignment="0" applyProtection="0"/>
    <xf numFmtId="0" fontId="42" fillId="35" borderId="0" applyNumberFormat="0" applyBorder="0" applyAlignment="0" applyProtection="0"/>
    <xf numFmtId="0" fontId="41" fillId="0" borderId="0"/>
    <xf numFmtId="0" fontId="41" fillId="54" borderId="17" applyNumberFormat="0" applyFont="0" applyAlignment="0" applyProtection="0"/>
    <xf numFmtId="0" fontId="41" fillId="24" borderId="0" applyNumberFormat="0" applyBorder="0" applyAlignment="0" applyProtection="0"/>
    <xf numFmtId="0" fontId="41" fillId="30" borderId="0" applyNumberFormat="0" applyBorder="0" applyAlignment="0" applyProtection="0"/>
    <xf numFmtId="0" fontId="41" fillId="25" borderId="0" applyNumberFormat="0" applyBorder="0" applyAlignment="0" applyProtection="0"/>
    <xf numFmtId="0" fontId="41" fillId="31" borderId="0" applyNumberFormat="0" applyBorder="0" applyAlignment="0" applyProtection="0"/>
    <xf numFmtId="0" fontId="41" fillId="26" borderId="0" applyNumberFormat="0" applyBorder="0" applyAlignment="0" applyProtection="0"/>
    <xf numFmtId="0" fontId="41" fillId="32" borderId="0" applyNumberFormat="0" applyBorder="0" applyAlignment="0" applyProtection="0"/>
    <xf numFmtId="0" fontId="41" fillId="27" borderId="0" applyNumberFormat="0" applyBorder="0" applyAlignment="0" applyProtection="0"/>
    <xf numFmtId="0" fontId="41" fillId="33" borderId="0" applyNumberFormat="0" applyBorder="0" applyAlignment="0" applyProtection="0"/>
    <xf numFmtId="0" fontId="41" fillId="28" borderId="0" applyNumberFormat="0" applyBorder="0" applyAlignment="0" applyProtection="0"/>
    <xf numFmtId="0" fontId="41" fillId="34" borderId="0" applyNumberFormat="0" applyBorder="0" applyAlignment="0" applyProtection="0"/>
    <xf numFmtId="0" fontId="41" fillId="29" borderId="0" applyNumberFormat="0" applyBorder="0" applyAlignment="0" applyProtection="0"/>
    <xf numFmtId="0" fontId="41" fillId="35" borderId="0" applyNumberFormat="0" applyBorder="0" applyAlignment="0" applyProtection="0"/>
    <xf numFmtId="0" fontId="40" fillId="0" borderId="0"/>
    <xf numFmtId="0" fontId="40" fillId="54" borderId="17" applyNumberFormat="0" applyFont="0" applyAlignment="0" applyProtection="0"/>
    <xf numFmtId="0" fontId="40" fillId="24" borderId="0" applyNumberFormat="0" applyBorder="0" applyAlignment="0" applyProtection="0"/>
    <xf numFmtId="0" fontId="40" fillId="30" borderId="0" applyNumberFormat="0" applyBorder="0" applyAlignment="0" applyProtection="0"/>
    <xf numFmtId="0" fontId="40" fillId="25" borderId="0" applyNumberFormat="0" applyBorder="0" applyAlignment="0" applyProtection="0"/>
    <xf numFmtId="0" fontId="40" fillId="31" borderId="0" applyNumberFormat="0" applyBorder="0" applyAlignment="0" applyProtection="0"/>
    <xf numFmtId="0" fontId="40" fillId="26" borderId="0" applyNumberFormat="0" applyBorder="0" applyAlignment="0" applyProtection="0"/>
    <xf numFmtId="0" fontId="40" fillId="32" borderId="0" applyNumberFormat="0" applyBorder="0" applyAlignment="0" applyProtection="0"/>
    <xf numFmtId="0" fontId="40" fillId="27" borderId="0" applyNumberFormat="0" applyBorder="0" applyAlignment="0" applyProtection="0"/>
    <xf numFmtId="0" fontId="40" fillId="33" borderId="0" applyNumberFormat="0" applyBorder="0" applyAlignment="0" applyProtection="0"/>
    <xf numFmtId="0" fontId="40" fillId="28" borderId="0" applyNumberFormat="0" applyBorder="0" applyAlignment="0" applyProtection="0"/>
    <xf numFmtId="0" fontId="40" fillId="34" borderId="0" applyNumberFormat="0" applyBorder="0" applyAlignment="0" applyProtection="0"/>
    <xf numFmtId="0" fontId="40" fillId="29" borderId="0" applyNumberFormat="0" applyBorder="0" applyAlignment="0" applyProtection="0"/>
    <xf numFmtId="0" fontId="40" fillId="35" borderId="0" applyNumberFormat="0" applyBorder="0" applyAlignment="0" applyProtection="0"/>
    <xf numFmtId="0" fontId="39" fillId="0" borderId="0"/>
    <xf numFmtId="0" fontId="39" fillId="54" borderId="17" applyNumberFormat="0" applyFont="0" applyAlignment="0" applyProtection="0"/>
    <xf numFmtId="0" fontId="39" fillId="24" borderId="0" applyNumberFormat="0" applyBorder="0" applyAlignment="0" applyProtection="0"/>
    <xf numFmtId="0" fontId="39" fillId="30" borderId="0" applyNumberFormat="0" applyBorder="0" applyAlignment="0" applyProtection="0"/>
    <xf numFmtId="0" fontId="39" fillId="25" borderId="0" applyNumberFormat="0" applyBorder="0" applyAlignment="0" applyProtection="0"/>
    <xf numFmtId="0" fontId="39" fillId="31" borderId="0" applyNumberFormat="0" applyBorder="0" applyAlignment="0" applyProtection="0"/>
    <xf numFmtId="0" fontId="39" fillId="26" borderId="0" applyNumberFormat="0" applyBorder="0" applyAlignment="0" applyProtection="0"/>
    <xf numFmtId="0" fontId="39" fillId="32" borderId="0" applyNumberFormat="0" applyBorder="0" applyAlignment="0" applyProtection="0"/>
    <xf numFmtId="0" fontId="39" fillId="27" borderId="0" applyNumberFormat="0" applyBorder="0" applyAlignment="0" applyProtection="0"/>
    <xf numFmtId="0" fontId="39" fillId="33" borderId="0" applyNumberFormat="0" applyBorder="0" applyAlignment="0" applyProtection="0"/>
    <xf numFmtId="0" fontId="39" fillId="28" borderId="0" applyNumberFormat="0" applyBorder="0" applyAlignment="0" applyProtection="0"/>
    <xf numFmtId="0" fontId="39" fillId="34" borderId="0" applyNumberFormat="0" applyBorder="0" applyAlignment="0" applyProtection="0"/>
    <xf numFmtId="0" fontId="39" fillId="29" borderId="0" applyNumberFormat="0" applyBorder="0" applyAlignment="0" applyProtection="0"/>
    <xf numFmtId="0" fontId="39" fillId="35" borderId="0" applyNumberFormat="0" applyBorder="0" applyAlignment="0" applyProtection="0"/>
    <xf numFmtId="0" fontId="38" fillId="0" borderId="0"/>
    <xf numFmtId="0" fontId="38" fillId="54" borderId="17" applyNumberFormat="0" applyFont="0" applyAlignment="0" applyProtection="0"/>
    <xf numFmtId="0" fontId="38" fillId="24" borderId="0" applyNumberFormat="0" applyBorder="0" applyAlignment="0" applyProtection="0"/>
    <xf numFmtId="0" fontId="38" fillId="30" borderId="0" applyNumberFormat="0" applyBorder="0" applyAlignment="0" applyProtection="0"/>
    <xf numFmtId="0" fontId="38" fillId="25" borderId="0" applyNumberFormat="0" applyBorder="0" applyAlignment="0" applyProtection="0"/>
    <xf numFmtId="0" fontId="38" fillId="31" borderId="0" applyNumberFormat="0" applyBorder="0" applyAlignment="0" applyProtection="0"/>
    <xf numFmtId="0" fontId="38" fillId="26" borderId="0" applyNumberFormat="0" applyBorder="0" applyAlignment="0" applyProtection="0"/>
    <xf numFmtId="0" fontId="38" fillId="32" borderId="0" applyNumberFormat="0" applyBorder="0" applyAlignment="0" applyProtection="0"/>
    <xf numFmtId="0" fontId="38" fillId="27" borderId="0" applyNumberFormat="0" applyBorder="0" applyAlignment="0" applyProtection="0"/>
    <xf numFmtId="0" fontId="38" fillId="33" borderId="0" applyNumberFormat="0" applyBorder="0" applyAlignment="0" applyProtection="0"/>
    <xf numFmtId="0" fontId="38" fillId="28" borderId="0" applyNumberFormat="0" applyBorder="0" applyAlignment="0" applyProtection="0"/>
    <xf numFmtId="0" fontId="38" fillId="34" borderId="0" applyNumberFormat="0" applyBorder="0" applyAlignment="0" applyProtection="0"/>
    <xf numFmtId="0" fontId="38" fillId="29" borderId="0" applyNumberFormat="0" applyBorder="0" applyAlignment="0" applyProtection="0"/>
    <xf numFmtId="0" fontId="38" fillId="35" borderId="0" applyNumberFormat="0" applyBorder="0" applyAlignment="0" applyProtection="0"/>
    <xf numFmtId="0" fontId="37" fillId="0" borderId="0"/>
    <xf numFmtId="0" fontId="37" fillId="54" borderId="17" applyNumberFormat="0" applyFont="0" applyAlignment="0" applyProtection="0"/>
    <xf numFmtId="0" fontId="37" fillId="24" borderId="0" applyNumberFormat="0" applyBorder="0" applyAlignment="0" applyProtection="0"/>
    <xf numFmtId="0" fontId="37" fillId="30" borderId="0" applyNumberFormat="0" applyBorder="0" applyAlignment="0" applyProtection="0"/>
    <xf numFmtId="0" fontId="37" fillId="25" borderId="0" applyNumberFormat="0" applyBorder="0" applyAlignment="0" applyProtection="0"/>
    <xf numFmtId="0" fontId="37" fillId="31" borderId="0" applyNumberFormat="0" applyBorder="0" applyAlignment="0" applyProtection="0"/>
    <xf numFmtId="0" fontId="37" fillId="26" borderId="0" applyNumberFormat="0" applyBorder="0" applyAlignment="0" applyProtection="0"/>
    <xf numFmtId="0" fontId="37" fillId="32" borderId="0" applyNumberFormat="0" applyBorder="0" applyAlignment="0" applyProtection="0"/>
    <xf numFmtId="0" fontId="37" fillId="27" borderId="0" applyNumberFormat="0" applyBorder="0" applyAlignment="0" applyProtection="0"/>
    <xf numFmtId="0" fontId="37" fillId="33" borderId="0" applyNumberFormat="0" applyBorder="0" applyAlignment="0" applyProtection="0"/>
    <xf numFmtId="0" fontId="37" fillId="28" borderId="0" applyNumberFormat="0" applyBorder="0" applyAlignment="0" applyProtection="0"/>
    <xf numFmtId="0" fontId="37" fillId="34" borderId="0" applyNumberFormat="0" applyBorder="0" applyAlignment="0" applyProtection="0"/>
    <xf numFmtId="0" fontId="37" fillId="29" borderId="0" applyNumberFormat="0" applyBorder="0" applyAlignment="0" applyProtection="0"/>
    <xf numFmtId="0" fontId="37" fillId="35" borderId="0" applyNumberFormat="0" applyBorder="0" applyAlignment="0" applyProtection="0"/>
    <xf numFmtId="0" fontId="36" fillId="0" borderId="0"/>
    <xf numFmtId="0" fontId="36" fillId="54" borderId="17" applyNumberFormat="0" applyFont="0" applyAlignment="0" applyProtection="0"/>
    <xf numFmtId="0" fontId="36" fillId="24" borderId="0" applyNumberFormat="0" applyBorder="0" applyAlignment="0" applyProtection="0"/>
    <xf numFmtId="0" fontId="36" fillId="30" borderId="0" applyNumberFormat="0" applyBorder="0" applyAlignment="0" applyProtection="0"/>
    <xf numFmtId="0" fontId="36" fillId="25" borderId="0" applyNumberFormat="0" applyBorder="0" applyAlignment="0" applyProtection="0"/>
    <xf numFmtId="0" fontId="36" fillId="31" borderId="0" applyNumberFormat="0" applyBorder="0" applyAlignment="0" applyProtection="0"/>
    <xf numFmtId="0" fontId="36" fillId="26" borderId="0" applyNumberFormat="0" applyBorder="0" applyAlignment="0" applyProtection="0"/>
    <xf numFmtId="0" fontId="36" fillId="32" borderId="0" applyNumberFormat="0" applyBorder="0" applyAlignment="0" applyProtection="0"/>
    <xf numFmtId="0" fontId="36" fillId="27" borderId="0" applyNumberFormat="0" applyBorder="0" applyAlignment="0" applyProtection="0"/>
    <xf numFmtId="0" fontId="36" fillId="33" borderId="0" applyNumberFormat="0" applyBorder="0" applyAlignment="0" applyProtection="0"/>
    <xf numFmtId="0" fontId="36" fillId="28" borderId="0" applyNumberFormat="0" applyBorder="0" applyAlignment="0" applyProtection="0"/>
    <xf numFmtId="0" fontId="36" fillId="34" borderId="0" applyNumberFormat="0" applyBorder="0" applyAlignment="0" applyProtection="0"/>
    <xf numFmtId="0" fontId="36" fillId="29" borderId="0" applyNumberFormat="0" applyBorder="0" applyAlignment="0" applyProtection="0"/>
    <xf numFmtId="0" fontId="36" fillId="35" borderId="0" applyNumberFormat="0" applyBorder="0" applyAlignment="0" applyProtection="0"/>
    <xf numFmtId="0" fontId="35" fillId="0" borderId="0"/>
    <xf numFmtId="0" fontId="35" fillId="54" borderId="17" applyNumberFormat="0" applyFont="0" applyAlignment="0" applyProtection="0"/>
    <xf numFmtId="0" fontId="35" fillId="24" borderId="0" applyNumberFormat="0" applyBorder="0" applyAlignment="0" applyProtection="0"/>
    <xf numFmtId="0" fontId="35" fillId="30" borderId="0" applyNumberFormat="0" applyBorder="0" applyAlignment="0" applyProtection="0"/>
    <xf numFmtId="0" fontId="35" fillId="25" borderId="0" applyNumberFormat="0" applyBorder="0" applyAlignment="0" applyProtection="0"/>
    <xf numFmtId="0" fontId="35" fillId="31" borderId="0" applyNumberFormat="0" applyBorder="0" applyAlignment="0" applyProtection="0"/>
    <xf numFmtId="0" fontId="35" fillId="26" borderId="0" applyNumberFormat="0" applyBorder="0" applyAlignment="0" applyProtection="0"/>
    <xf numFmtId="0" fontId="35" fillId="32" borderId="0" applyNumberFormat="0" applyBorder="0" applyAlignment="0" applyProtection="0"/>
    <xf numFmtId="0" fontId="35" fillId="27" borderId="0" applyNumberFormat="0" applyBorder="0" applyAlignment="0" applyProtection="0"/>
    <xf numFmtId="0" fontId="35" fillId="33" borderId="0" applyNumberFormat="0" applyBorder="0" applyAlignment="0" applyProtection="0"/>
    <xf numFmtId="0" fontId="35" fillId="28" borderId="0" applyNumberFormat="0" applyBorder="0" applyAlignment="0" applyProtection="0"/>
    <xf numFmtId="0" fontId="35" fillId="34" borderId="0" applyNumberFormat="0" applyBorder="0" applyAlignment="0" applyProtection="0"/>
    <xf numFmtId="0" fontId="35" fillId="29" borderId="0" applyNumberFormat="0" applyBorder="0" applyAlignment="0" applyProtection="0"/>
    <xf numFmtId="0" fontId="35" fillId="35" borderId="0" applyNumberFormat="0" applyBorder="0" applyAlignment="0" applyProtection="0"/>
    <xf numFmtId="0" fontId="34" fillId="0" borderId="0"/>
    <xf numFmtId="0" fontId="34" fillId="54" borderId="17" applyNumberFormat="0" applyFont="0" applyAlignment="0" applyProtection="0"/>
    <xf numFmtId="0" fontId="34" fillId="24" borderId="0" applyNumberFormat="0" applyBorder="0" applyAlignment="0" applyProtection="0"/>
    <xf numFmtId="0" fontId="34" fillId="30" borderId="0" applyNumberFormat="0" applyBorder="0" applyAlignment="0" applyProtection="0"/>
    <xf numFmtId="0" fontId="34" fillId="25" borderId="0" applyNumberFormat="0" applyBorder="0" applyAlignment="0" applyProtection="0"/>
    <xf numFmtId="0" fontId="34" fillId="31" borderId="0" applyNumberFormat="0" applyBorder="0" applyAlignment="0" applyProtection="0"/>
    <xf numFmtId="0" fontId="34" fillId="26" borderId="0" applyNumberFormat="0" applyBorder="0" applyAlignment="0" applyProtection="0"/>
    <xf numFmtId="0" fontId="34" fillId="32" borderId="0" applyNumberFormat="0" applyBorder="0" applyAlignment="0" applyProtection="0"/>
    <xf numFmtId="0" fontId="34" fillId="27" borderId="0" applyNumberFormat="0" applyBorder="0" applyAlignment="0" applyProtection="0"/>
    <xf numFmtId="0" fontId="34" fillId="33" borderId="0" applyNumberFormat="0" applyBorder="0" applyAlignment="0" applyProtection="0"/>
    <xf numFmtId="0" fontId="34" fillId="28" borderId="0" applyNumberFormat="0" applyBorder="0" applyAlignment="0" applyProtection="0"/>
    <xf numFmtId="0" fontId="34" fillId="34" borderId="0" applyNumberFormat="0" applyBorder="0" applyAlignment="0" applyProtection="0"/>
    <xf numFmtId="0" fontId="34" fillId="29" borderId="0" applyNumberFormat="0" applyBorder="0" applyAlignment="0" applyProtection="0"/>
    <xf numFmtId="0" fontId="34" fillId="35" borderId="0" applyNumberFormat="0" applyBorder="0" applyAlignment="0" applyProtection="0"/>
    <xf numFmtId="0" fontId="33" fillId="0" borderId="0"/>
    <xf numFmtId="0" fontId="33" fillId="54" borderId="17" applyNumberFormat="0" applyFont="0" applyAlignment="0" applyProtection="0"/>
    <xf numFmtId="0" fontId="33" fillId="24" borderId="0" applyNumberFormat="0" applyBorder="0" applyAlignment="0" applyProtection="0"/>
    <xf numFmtId="0" fontId="33" fillId="30" borderId="0" applyNumberFormat="0" applyBorder="0" applyAlignment="0" applyProtection="0"/>
    <xf numFmtId="0" fontId="33" fillId="25" borderId="0" applyNumberFormat="0" applyBorder="0" applyAlignment="0" applyProtection="0"/>
    <xf numFmtId="0" fontId="33" fillId="31" borderId="0" applyNumberFormat="0" applyBorder="0" applyAlignment="0" applyProtection="0"/>
    <xf numFmtId="0" fontId="33" fillId="26" borderId="0" applyNumberFormat="0" applyBorder="0" applyAlignment="0" applyProtection="0"/>
    <xf numFmtId="0" fontId="33" fillId="32" borderId="0" applyNumberFormat="0" applyBorder="0" applyAlignment="0" applyProtection="0"/>
    <xf numFmtId="0" fontId="33" fillId="27" borderId="0" applyNumberFormat="0" applyBorder="0" applyAlignment="0" applyProtection="0"/>
    <xf numFmtId="0" fontId="33" fillId="33" borderId="0" applyNumberFormat="0" applyBorder="0" applyAlignment="0" applyProtection="0"/>
    <xf numFmtId="0" fontId="33" fillId="28" borderId="0" applyNumberFormat="0" applyBorder="0" applyAlignment="0" applyProtection="0"/>
    <xf numFmtId="0" fontId="33" fillId="34" borderId="0" applyNumberFormat="0" applyBorder="0" applyAlignment="0" applyProtection="0"/>
    <xf numFmtId="0" fontId="33" fillId="29" borderId="0" applyNumberFormat="0" applyBorder="0" applyAlignment="0" applyProtection="0"/>
    <xf numFmtId="0" fontId="33" fillId="35" borderId="0" applyNumberFormat="0" applyBorder="0" applyAlignment="0" applyProtection="0"/>
    <xf numFmtId="0" fontId="32" fillId="0" borderId="0"/>
    <xf numFmtId="0" fontId="32" fillId="54" borderId="17" applyNumberFormat="0" applyFont="0" applyAlignment="0" applyProtection="0"/>
    <xf numFmtId="0" fontId="32" fillId="24" borderId="0" applyNumberFormat="0" applyBorder="0" applyAlignment="0" applyProtection="0"/>
    <xf numFmtId="0" fontId="32" fillId="30" borderId="0" applyNumberFormat="0" applyBorder="0" applyAlignment="0" applyProtection="0"/>
    <xf numFmtId="0" fontId="32" fillId="25" borderId="0" applyNumberFormat="0" applyBorder="0" applyAlignment="0" applyProtection="0"/>
    <xf numFmtId="0" fontId="32" fillId="31" borderId="0" applyNumberFormat="0" applyBorder="0" applyAlignment="0" applyProtection="0"/>
    <xf numFmtId="0" fontId="32" fillId="26" borderId="0" applyNumberFormat="0" applyBorder="0" applyAlignment="0" applyProtection="0"/>
    <xf numFmtId="0" fontId="32" fillId="32" borderId="0" applyNumberFormat="0" applyBorder="0" applyAlignment="0" applyProtection="0"/>
    <xf numFmtId="0" fontId="32" fillId="27" borderId="0" applyNumberFormat="0" applyBorder="0" applyAlignment="0" applyProtection="0"/>
    <xf numFmtId="0" fontId="32" fillId="33" borderId="0" applyNumberFormat="0" applyBorder="0" applyAlignment="0" applyProtection="0"/>
    <xf numFmtId="0" fontId="32" fillId="28" borderId="0" applyNumberFormat="0" applyBorder="0" applyAlignment="0" applyProtection="0"/>
    <xf numFmtId="0" fontId="32" fillId="34" borderId="0" applyNumberFormat="0" applyBorder="0" applyAlignment="0" applyProtection="0"/>
    <xf numFmtId="0" fontId="32" fillId="29" borderId="0" applyNumberFormat="0" applyBorder="0" applyAlignment="0" applyProtection="0"/>
    <xf numFmtId="0" fontId="32" fillId="35" borderId="0" applyNumberFormat="0" applyBorder="0" applyAlignment="0" applyProtection="0"/>
    <xf numFmtId="0" fontId="31" fillId="0" borderId="0"/>
    <xf numFmtId="0" fontId="31" fillId="54" borderId="17" applyNumberFormat="0" applyFont="0" applyAlignment="0" applyProtection="0"/>
    <xf numFmtId="0" fontId="31" fillId="24" borderId="0" applyNumberFormat="0" applyBorder="0" applyAlignment="0" applyProtection="0"/>
    <xf numFmtId="0" fontId="31" fillId="30" borderId="0" applyNumberFormat="0" applyBorder="0" applyAlignment="0" applyProtection="0"/>
    <xf numFmtId="0" fontId="31" fillId="25" borderId="0" applyNumberFormat="0" applyBorder="0" applyAlignment="0" applyProtection="0"/>
    <xf numFmtId="0" fontId="31" fillId="31" borderId="0" applyNumberFormat="0" applyBorder="0" applyAlignment="0" applyProtection="0"/>
    <xf numFmtId="0" fontId="31" fillId="26" borderId="0" applyNumberFormat="0" applyBorder="0" applyAlignment="0" applyProtection="0"/>
    <xf numFmtId="0" fontId="31" fillId="32" borderId="0" applyNumberFormat="0" applyBorder="0" applyAlignment="0" applyProtection="0"/>
    <xf numFmtId="0" fontId="31" fillId="27" borderId="0" applyNumberFormat="0" applyBorder="0" applyAlignment="0" applyProtection="0"/>
    <xf numFmtId="0" fontId="31" fillId="33" borderId="0" applyNumberFormat="0" applyBorder="0" applyAlignment="0" applyProtection="0"/>
    <xf numFmtId="0" fontId="31" fillId="28" borderId="0" applyNumberFormat="0" applyBorder="0" applyAlignment="0" applyProtection="0"/>
    <xf numFmtId="0" fontId="31" fillId="34" borderId="0" applyNumberFormat="0" applyBorder="0" applyAlignment="0" applyProtection="0"/>
    <xf numFmtId="0" fontId="31" fillId="29" borderId="0" applyNumberFormat="0" applyBorder="0" applyAlignment="0" applyProtection="0"/>
    <xf numFmtId="0" fontId="31" fillId="35" borderId="0" applyNumberFormat="0" applyBorder="0" applyAlignment="0" applyProtection="0"/>
    <xf numFmtId="0" fontId="30" fillId="0" borderId="0"/>
    <xf numFmtId="0" fontId="30" fillId="54" borderId="17" applyNumberFormat="0" applyFont="0" applyAlignment="0" applyProtection="0"/>
    <xf numFmtId="0" fontId="30" fillId="24" borderId="0" applyNumberFormat="0" applyBorder="0" applyAlignment="0" applyProtection="0"/>
    <xf numFmtId="0" fontId="30" fillId="30" borderId="0" applyNumberFormat="0" applyBorder="0" applyAlignment="0" applyProtection="0"/>
    <xf numFmtId="0" fontId="30" fillId="25" borderId="0" applyNumberFormat="0" applyBorder="0" applyAlignment="0" applyProtection="0"/>
    <xf numFmtId="0" fontId="30" fillId="31" borderId="0" applyNumberFormat="0" applyBorder="0" applyAlignment="0" applyProtection="0"/>
    <xf numFmtId="0" fontId="30" fillId="26" borderId="0" applyNumberFormat="0" applyBorder="0" applyAlignment="0" applyProtection="0"/>
    <xf numFmtId="0" fontId="30" fillId="32" borderId="0" applyNumberFormat="0" applyBorder="0" applyAlignment="0" applyProtection="0"/>
    <xf numFmtId="0" fontId="30" fillId="27" borderId="0" applyNumberFormat="0" applyBorder="0" applyAlignment="0" applyProtection="0"/>
    <xf numFmtId="0" fontId="30" fillId="33" borderId="0" applyNumberFormat="0" applyBorder="0" applyAlignment="0" applyProtection="0"/>
    <xf numFmtId="0" fontId="30" fillId="28" borderId="0" applyNumberFormat="0" applyBorder="0" applyAlignment="0" applyProtection="0"/>
    <xf numFmtId="0" fontId="30" fillId="34" borderId="0" applyNumberFormat="0" applyBorder="0" applyAlignment="0" applyProtection="0"/>
    <xf numFmtId="0" fontId="30" fillId="29" borderId="0" applyNumberFormat="0" applyBorder="0" applyAlignment="0" applyProtection="0"/>
    <xf numFmtId="0" fontId="30" fillId="35" borderId="0" applyNumberFormat="0" applyBorder="0" applyAlignment="0" applyProtection="0"/>
    <xf numFmtId="0" fontId="29" fillId="0" borderId="0"/>
    <xf numFmtId="0" fontId="29" fillId="54" borderId="17" applyNumberFormat="0" applyFont="0" applyAlignment="0" applyProtection="0"/>
    <xf numFmtId="0" fontId="29" fillId="24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31" borderId="0" applyNumberFormat="0" applyBorder="0" applyAlignment="0" applyProtection="0"/>
    <xf numFmtId="0" fontId="29" fillId="26" borderId="0" applyNumberFormat="0" applyBorder="0" applyAlignment="0" applyProtection="0"/>
    <xf numFmtId="0" fontId="29" fillId="32" borderId="0" applyNumberFormat="0" applyBorder="0" applyAlignment="0" applyProtection="0"/>
    <xf numFmtId="0" fontId="29" fillId="27" borderId="0" applyNumberFormat="0" applyBorder="0" applyAlignment="0" applyProtection="0"/>
    <xf numFmtId="0" fontId="29" fillId="33" borderId="0" applyNumberFormat="0" applyBorder="0" applyAlignment="0" applyProtection="0"/>
    <xf numFmtId="0" fontId="29" fillId="28" borderId="0" applyNumberFormat="0" applyBorder="0" applyAlignment="0" applyProtection="0"/>
    <xf numFmtId="0" fontId="29" fillId="34" borderId="0" applyNumberFormat="0" applyBorder="0" applyAlignment="0" applyProtection="0"/>
    <xf numFmtId="0" fontId="29" fillId="29" borderId="0" applyNumberFormat="0" applyBorder="0" applyAlignment="0" applyProtection="0"/>
    <xf numFmtId="0" fontId="29" fillId="35" borderId="0" applyNumberFormat="0" applyBorder="0" applyAlignment="0" applyProtection="0"/>
    <xf numFmtId="0" fontId="28" fillId="0" borderId="0"/>
    <xf numFmtId="0" fontId="28" fillId="54" borderId="17" applyNumberFormat="0" applyFont="0" applyAlignment="0" applyProtection="0"/>
    <xf numFmtId="0" fontId="28" fillId="24" borderId="0" applyNumberFormat="0" applyBorder="0" applyAlignment="0" applyProtection="0"/>
    <xf numFmtId="0" fontId="28" fillId="30" borderId="0" applyNumberFormat="0" applyBorder="0" applyAlignment="0" applyProtection="0"/>
    <xf numFmtId="0" fontId="28" fillId="25" borderId="0" applyNumberFormat="0" applyBorder="0" applyAlignment="0" applyProtection="0"/>
    <xf numFmtId="0" fontId="28" fillId="31" borderId="0" applyNumberFormat="0" applyBorder="0" applyAlignment="0" applyProtection="0"/>
    <xf numFmtId="0" fontId="28" fillId="26" borderId="0" applyNumberFormat="0" applyBorder="0" applyAlignment="0" applyProtection="0"/>
    <xf numFmtId="0" fontId="28" fillId="32" borderId="0" applyNumberFormat="0" applyBorder="0" applyAlignment="0" applyProtection="0"/>
    <xf numFmtId="0" fontId="28" fillId="27" borderId="0" applyNumberFormat="0" applyBorder="0" applyAlignment="0" applyProtection="0"/>
    <xf numFmtId="0" fontId="28" fillId="33" borderId="0" applyNumberFormat="0" applyBorder="0" applyAlignment="0" applyProtection="0"/>
    <xf numFmtId="0" fontId="28" fillId="28" borderId="0" applyNumberFormat="0" applyBorder="0" applyAlignment="0" applyProtection="0"/>
    <xf numFmtId="0" fontId="28" fillId="34" borderId="0" applyNumberFormat="0" applyBorder="0" applyAlignment="0" applyProtection="0"/>
    <xf numFmtId="0" fontId="28" fillId="29" borderId="0" applyNumberFormat="0" applyBorder="0" applyAlignment="0" applyProtection="0"/>
    <xf numFmtId="0" fontId="28" fillId="35" borderId="0" applyNumberFormat="0" applyBorder="0" applyAlignment="0" applyProtection="0"/>
    <xf numFmtId="0" fontId="47" fillId="2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47" fillId="3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47" fillId="4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47" fillId="5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47" fillId="6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47" fillId="7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47" fillId="8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47" fillId="9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47" fillId="10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47" fillId="5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47" fillId="8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47" fillId="11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47" fillId="54" borderId="17" applyNumberFormat="0" applyFont="0" applyAlignment="0" applyProtection="0"/>
    <xf numFmtId="0" fontId="47" fillId="54" borderId="17" applyNumberFormat="0" applyFont="0" applyAlignment="0" applyProtection="0"/>
    <xf numFmtId="0" fontId="27" fillId="0" borderId="0"/>
    <xf numFmtId="0" fontId="27" fillId="54" borderId="17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54" borderId="17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54" borderId="17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54" borderId="17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54" borderId="17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54" borderId="17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54" borderId="17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54" borderId="17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43" fontId="50" fillId="0" borderId="0" applyFont="0" applyFill="0" applyBorder="0" applyAlignment="0" applyProtection="0"/>
    <xf numFmtId="0" fontId="27" fillId="0" borderId="0"/>
    <xf numFmtId="0" fontId="27" fillId="54" borderId="17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54" borderId="17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54" borderId="17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54" borderId="17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54" borderId="17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54" borderId="17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54" borderId="17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54" borderId="17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7" fillId="0" borderId="0"/>
    <xf numFmtId="0" fontId="27" fillId="54" borderId="17" applyNumberFormat="0" applyFont="0" applyAlignment="0" applyProtection="0"/>
    <xf numFmtId="0" fontId="27" fillId="24" borderId="0" applyNumberFormat="0" applyBorder="0" applyAlignment="0" applyProtection="0"/>
    <xf numFmtId="0" fontId="27" fillId="30" borderId="0" applyNumberFormat="0" applyBorder="0" applyAlignment="0" applyProtection="0"/>
    <xf numFmtId="0" fontId="27" fillId="25" borderId="0" applyNumberFormat="0" applyBorder="0" applyAlignment="0" applyProtection="0"/>
    <xf numFmtId="0" fontId="27" fillId="31" borderId="0" applyNumberFormat="0" applyBorder="0" applyAlignment="0" applyProtection="0"/>
    <xf numFmtId="0" fontId="27" fillId="26" borderId="0" applyNumberFormat="0" applyBorder="0" applyAlignment="0" applyProtection="0"/>
    <xf numFmtId="0" fontId="27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35" borderId="0" applyNumberFormat="0" applyBorder="0" applyAlignment="0" applyProtection="0"/>
    <xf numFmtId="0" fontId="26" fillId="0" borderId="0"/>
    <xf numFmtId="0" fontId="26" fillId="54" borderId="17" applyNumberFormat="0" applyFont="0" applyAlignment="0" applyProtection="0"/>
    <xf numFmtId="0" fontId="26" fillId="24" borderId="0" applyNumberFormat="0" applyBorder="0" applyAlignment="0" applyProtection="0"/>
    <xf numFmtId="0" fontId="26" fillId="30" borderId="0" applyNumberFormat="0" applyBorder="0" applyAlignment="0" applyProtection="0"/>
    <xf numFmtId="0" fontId="26" fillId="25" borderId="0" applyNumberFormat="0" applyBorder="0" applyAlignment="0" applyProtection="0"/>
    <xf numFmtId="0" fontId="26" fillId="31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28" borderId="0" applyNumberFormat="0" applyBorder="0" applyAlignment="0" applyProtection="0"/>
    <xf numFmtId="0" fontId="26" fillId="34" borderId="0" applyNumberFormat="0" applyBorder="0" applyAlignment="0" applyProtection="0"/>
    <xf numFmtId="0" fontId="26" fillId="29" borderId="0" applyNumberFormat="0" applyBorder="0" applyAlignment="0" applyProtection="0"/>
    <xf numFmtId="0" fontId="26" fillId="35" borderId="0" applyNumberFormat="0" applyBorder="0" applyAlignment="0" applyProtection="0"/>
    <xf numFmtId="0" fontId="25" fillId="0" borderId="0"/>
    <xf numFmtId="0" fontId="25" fillId="54" borderId="17" applyNumberFormat="0" applyFont="0" applyAlignment="0" applyProtection="0"/>
    <xf numFmtId="0" fontId="25" fillId="24" borderId="0" applyNumberFormat="0" applyBorder="0" applyAlignment="0" applyProtection="0"/>
    <xf numFmtId="0" fontId="25" fillId="30" borderId="0" applyNumberFormat="0" applyBorder="0" applyAlignment="0" applyProtection="0"/>
    <xf numFmtId="0" fontId="25" fillId="25" borderId="0" applyNumberFormat="0" applyBorder="0" applyAlignment="0" applyProtection="0"/>
    <xf numFmtId="0" fontId="25" fillId="31" borderId="0" applyNumberFormat="0" applyBorder="0" applyAlignment="0" applyProtection="0"/>
    <xf numFmtId="0" fontId="25" fillId="26" borderId="0" applyNumberFormat="0" applyBorder="0" applyAlignment="0" applyProtection="0"/>
    <xf numFmtId="0" fontId="25" fillId="32" borderId="0" applyNumberFormat="0" applyBorder="0" applyAlignment="0" applyProtection="0"/>
    <xf numFmtId="0" fontId="25" fillId="27" borderId="0" applyNumberFormat="0" applyBorder="0" applyAlignment="0" applyProtection="0"/>
    <xf numFmtId="0" fontId="25" fillId="33" borderId="0" applyNumberFormat="0" applyBorder="0" applyAlignment="0" applyProtection="0"/>
    <xf numFmtId="0" fontId="25" fillId="28" borderId="0" applyNumberFormat="0" applyBorder="0" applyAlignment="0" applyProtection="0"/>
    <xf numFmtId="0" fontId="25" fillId="34" borderId="0" applyNumberFormat="0" applyBorder="0" applyAlignment="0" applyProtection="0"/>
    <xf numFmtId="0" fontId="25" fillId="29" borderId="0" applyNumberFormat="0" applyBorder="0" applyAlignment="0" applyProtection="0"/>
    <xf numFmtId="0" fontId="25" fillId="35" borderId="0" applyNumberFormat="0" applyBorder="0" applyAlignment="0" applyProtection="0"/>
    <xf numFmtId="0" fontId="24" fillId="0" borderId="0"/>
    <xf numFmtId="0" fontId="24" fillId="54" borderId="17" applyNumberFormat="0" applyFont="0" applyAlignment="0" applyProtection="0"/>
    <xf numFmtId="0" fontId="24" fillId="24" borderId="0" applyNumberFormat="0" applyBorder="0" applyAlignment="0" applyProtection="0"/>
    <xf numFmtId="0" fontId="24" fillId="30" borderId="0" applyNumberFormat="0" applyBorder="0" applyAlignment="0" applyProtection="0"/>
    <xf numFmtId="0" fontId="24" fillId="25" borderId="0" applyNumberFormat="0" applyBorder="0" applyAlignment="0" applyProtection="0"/>
    <xf numFmtId="0" fontId="24" fillId="31" borderId="0" applyNumberFormat="0" applyBorder="0" applyAlignment="0" applyProtection="0"/>
    <xf numFmtId="0" fontId="24" fillId="26" borderId="0" applyNumberFormat="0" applyBorder="0" applyAlignment="0" applyProtection="0"/>
    <xf numFmtId="0" fontId="24" fillId="32" borderId="0" applyNumberFormat="0" applyBorder="0" applyAlignment="0" applyProtection="0"/>
    <xf numFmtId="0" fontId="24" fillId="27" borderId="0" applyNumberFormat="0" applyBorder="0" applyAlignment="0" applyProtection="0"/>
    <xf numFmtId="0" fontId="24" fillId="33" borderId="0" applyNumberFormat="0" applyBorder="0" applyAlignment="0" applyProtection="0"/>
    <xf numFmtId="0" fontId="24" fillId="28" borderId="0" applyNumberFormat="0" applyBorder="0" applyAlignment="0" applyProtection="0"/>
    <xf numFmtId="0" fontId="24" fillId="34" borderId="0" applyNumberFormat="0" applyBorder="0" applyAlignment="0" applyProtection="0"/>
    <xf numFmtId="0" fontId="24" fillId="29" borderId="0" applyNumberFormat="0" applyBorder="0" applyAlignment="0" applyProtection="0"/>
    <xf numFmtId="0" fontId="24" fillId="35" borderId="0" applyNumberFormat="0" applyBorder="0" applyAlignment="0" applyProtection="0"/>
    <xf numFmtId="0" fontId="23" fillId="0" borderId="0"/>
    <xf numFmtId="0" fontId="23" fillId="54" borderId="17" applyNumberFormat="0" applyFont="0" applyAlignment="0" applyProtection="0"/>
    <xf numFmtId="0" fontId="23" fillId="24" borderId="0" applyNumberFormat="0" applyBorder="0" applyAlignment="0" applyProtection="0"/>
    <xf numFmtId="0" fontId="23" fillId="30" borderId="0" applyNumberFormat="0" applyBorder="0" applyAlignment="0" applyProtection="0"/>
    <xf numFmtId="0" fontId="23" fillId="25" borderId="0" applyNumberFormat="0" applyBorder="0" applyAlignment="0" applyProtection="0"/>
    <xf numFmtId="0" fontId="23" fillId="31" borderId="0" applyNumberFormat="0" applyBorder="0" applyAlignment="0" applyProtection="0"/>
    <xf numFmtId="0" fontId="23" fillId="26" borderId="0" applyNumberFormat="0" applyBorder="0" applyAlignment="0" applyProtection="0"/>
    <xf numFmtId="0" fontId="23" fillId="32" borderId="0" applyNumberFormat="0" applyBorder="0" applyAlignment="0" applyProtection="0"/>
    <xf numFmtId="0" fontId="23" fillId="27" borderId="0" applyNumberFormat="0" applyBorder="0" applyAlignment="0" applyProtection="0"/>
    <xf numFmtId="0" fontId="23" fillId="33" borderId="0" applyNumberFormat="0" applyBorder="0" applyAlignment="0" applyProtection="0"/>
    <xf numFmtId="0" fontId="23" fillId="28" borderId="0" applyNumberFormat="0" applyBorder="0" applyAlignment="0" applyProtection="0"/>
    <xf numFmtId="0" fontId="23" fillId="34" borderId="0" applyNumberFormat="0" applyBorder="0" applyAlignment="0" applyProtection="0"/>
    <xf numFmtId="0" fontId="23" fillId="29" borderId="0" applyNumberFormat="0" applyBorder="0" applyAlignment="0" applyProtection="0"/>
    <xf numFmtId="0" fontId="23" fillId="35" borderId="0" applyNumberFormat="0" applyBorder="0" applyAlignment="0" applyProtection="0"/>
    <xf numFmtId="0" fontId="22" fillId="0" borderId="0"/>
    <xf numFmtId="0" fontId="22" fillId="54" borderId="17" applyNumberFormat="0" applyFont="0" applyAlignment="0" applyProtection="0"/>
    <xf numFmtId="0" fontId="22" fillId="24" borderId="0" applyNumberFormat="0" applyBorder="0" applyAlignment="0" applyProtection="0"/>
    <xf numFmtId="0" fontId="22" fillId="30" borderId="0" applyNumberFormat="0" applyBorder="0" applyAlignment="0" applyProtection="0"/>
    <xf numFmtId="0" fontId="22" fillId="25" borderId="0" applyNumberFormat="0" applyBorder="0" applyAlignment="0" applyProtection="0"/>
    <xf numFmtId="0" fontId="22" fillId="31" borderId="0" applyNumberFormat="0" applyBorder="0" applyAlignment="0" applyProtection="0"/>
    <xf numFmtId="0" fontId="22" fillId="26" borderId="0" applyNumberFormat="0" applyBorder="0" applyAlignment="0" applyProtection="0"/>
    <xf numFmtId="0" fontId="22" fillId="32" borderId="0" applyNumberFormat="0" applyBorder="0" applyAlignment="0" applyProtection="0"/>
    <xf numFmtId="0" fontId="22" fillId="27" borderId="0" applyNumberFormat="0" applyBorder="0" applyAlignment="0" applyProtection="0"/>
    <xf numFmtId="0" fontId="22" fillId="33" borderId="0" applyNumberFormat="0" applyBorder="0" applyAlignment="0" applyProtection="0"/>
    <xf numFmtId="0" fontId="22" fillId="28" borderId="0" applyNumberFormat="0" applyBorder="0" applyAlignment="0" applyProtection="0"/>
    <xf numFmtId="0" fontId="22" fillId="34" borderId="0" applyNumberFormat="0" applyBorder="0" applyAlignment="0" applyProtection="0"/>
    <xf numFmtId="0" fontId="22" fillId="29" borderId="0" applyNumberFormat="0" applyBorder="0" applyAlignment="0" applyProtection="0"/>
    <xf numFmtId="0" fontId="22" fillId="35" borderId="0" applyNumberFormat="0" applyBorder="0" applyAlignment="0" applyProtection="0"/>
    <xf numFmtId="0" fontId="21" fillId="0" borderId="0"/>
    <xf numFmtId="0" fontId="21" fillId="54" borderId="17" applyNumberFormat="0" applyFont="0" applyAlignment="0" applyProtection="0"/>
    <xf numFmtId="0" fontId="21" fillId="24" borderId="0" applyNumberFormat="0" applyBorder="0" applyAlignment="0" applyProtection="0"/>
    <xf numFmtId="0" fontId="21" fillId="30" borderId="0" applyNumberFormat="0" applyBorder="0" applyAlignment="0" applyProtection="0"/>
    <xf numFmtId="0" fontId="21" fillId="25" borderId="0" applyNumberFormat="0" applyBorder="0" applyAlignment="0" applyProtection="0"/>
    <xf numFmtId="0" fontId="21" fillId="31" borderId="0" applyNumberFormat="0" applyBorder="0" applyAlignment="0" applyProtection="0"/>
    <xf numFmtId="0" fontId="21" fillId="26" borderId="0" applyNumberFormat="0" applyBorder="0" applyAlignment="0" applyProtection="0"/>
    <xf numFmtId="0" fontId="21" fillId="32" borderId="0" applyNumberFormat="0" applyBorder="0" applyAlignment="0" applyProtection="0"/>
    <xf numFmtId="0" fontId="21" fillId="27" borderId="0" applyNumberFormat="0" applyBorder="0" applyAlignment="0" applyProtection="0"/>
    <xf numFmtId="0" fontId="21" fillId="33" borderId="0" applyNumberFormat="0" applyBorder="0" applyAlignment="0" applyProtection="0"/>
    <xf numFmtId="0" fontId="21" fillId="28" borderId="0" applyNumberFormat="0" applyBorder="0" applyAlignment="0" applyProtection="0"/>
    <xf numFmtId="0" fontId="21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35" borderId="0" applyNumberFormat="0" applyBorder="0" applyAlignment="0" applyProtection="0"/>
    <xf numFmtId="0" fontId="20" fillId="0" borderId="0"/>
    <xf numFmtId="0" fontId="20" fillId="54" borderId="17" applyNumberFormat="0" applyFont="0" applyAlignment="0" applyProtection="0"/>
    <xf numFmtId="0" fontId="20" fillId="24" borderId="0" applyNumberFormat="0" applyBorder="0" applyAlignment="0" applyProtection="0"/>
    <xf numFmtId="0" fontId="20" fillId="30" borderId="0" applyNumberFormat="0" applyBorder="0" applyAlignment="0" applyProtection="0"/>
    <xf numFmtId="0" fontId="20" fillId="25" borderId="0" applyNumberFormat="0" applyBorder="0" applyAlignment="0" applyProtection="0"/>
    <xf numFmtId="0" fontId="20" fillId="31" borderId="0" applyNumberFormat="0" applyBorder="0" applyAlignment="0" applyProtection="0"/>
    <xf numFmtId="0" fontId="20" fillId="26" borderId="0" applyNumberFormat="0" applyBorder="0" applyAlignment="0" applyProtection="0"/>
    <xf numFmtId="0" fontId="20" fillId="32" borderId="0" applyNumberFormat="0" applyBorder="0" applyAlignment="0" applyProtection="0"/>
    <xf numFmtId="0" fontId="20" fillId="27" borderId="0" applyNumberFormat="0" applyBorder="0" applyAlignment="0" applyProtection="0"/>
    <xf numFmtId="0" fontId="20" fillId="33" borderId="0" applyNumberFormat="0" applyBorder="0" applyAlignment="0" applyProtection="0"/>
    <xf numFmtId="0" fontId="20" fillId="28" borderId="0" applyNumberFormat="0" applyBorder="0" applyAlignment="0" applyProtection="0"/>
    <xf numFmtId="0" fontId="20" fillId="34" borderId="0" applyNumberFormat="0" applyBorder="0" applyAlignment="0" applyProtection="0"/>
    <xf numFmtId="0" fontId="20" fillId="29" borderId="0" applyNumberFormat="0" applyBorder="0" applyAlignment="0" applyProtection="0"/>
    <xf numFmtId="0" fontId="20" fillId="35" borderId="0" applyNumberFormat="0" applyBorder="0" applyAlignment="0" applyProtection="0"/>
    <xf numFmtId="0" fontId="19" fillId="0" borderId="0"/>
    <xf numFmtId="0" fontId="19" fillId="54" borderId="17" applyNumberFormat="0" applyFont="0" applyAlignment="0" applyProtection="0"/>
    <xf numFmtId="0" fontId="19" fillId="24" borderId="0" applyNumberFormat="0" applyBorder="0" applyAlignment="0" applyProtection="0"/>
    <xf numFmtId="0" fontId="19" fillId="30" borderId="0" applyNumberFormat="0" applyBorder="0" applyAlignment="0" applyProtection="0"/>
    <xf numFmtId="0" fontId="19" fillId="25" borderId="0" applyNumberFormat="0" applyBorder="0" applyAlignment="0" applyProtection="0"/>
    <xf numFmtId="0" fontId="19" fillId="31" borderId="0" applyNumberFormat="0" applyBorder="0" applyAlignment="0" applyProtection="0"/>
    <xf numFmtId="0" fontId="19" fillId="26" borderId="0" applyNumberFormat="0" applyBorder="0" applyAlignment="0" applyProtection="0"/>
    <xf numFmtId="0" fontId="19" fillId="32" borderId="0" applyNumberFormat="0" applyBorder="0" applyAlignment="0" applyProtection="0"/>
    <xf numFmtId="0" fontId="19" fillId="27" borderId="0" applyNumberFormat="0" applyBorder="0" applyAlignment="0" applyProtection="0"/>
    <xf numFmtId="0" fontId="19" fillId="33" borderId="0" applyNumberFormat="0" applyBorder="0" applyAlignment="0" applyProtection="0"/>
    <xf numFmtId="0" fontId="19" fillId="28" borderId="0" applyNumberFormat="0" applyBorder="0" applyAlignment="0" applyProtection="0"/>
    <xf numFmtId="0" fontId="19" fillId="34" borderId="0" applyNumberFormat="0" applyBorder="0" applyAlignment="0" applyProtection="0"/>
    <xf numFmtId="0" fontId="19" fillId="29" borderId="0" applyNumberFormat="0" applyBorder="0" applyAlignment="0" applyProtection="0"/>
    <xf numFmtId="0" fontId="19" fillId="35" borderId="0" applyNumberFormat="0" applyBorder="0" applyAlignment="0" applyProtection="0"/>
    <xf numFmtId="0" fontId="18" fillId="0" borderId="0"/>
    <xf numFmtId="0" fontId="18" fillId="54" borderId="17" applyNumberFormat="0" applyFont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8" fillId="25" borderId="0" applyNumberFormat="0" applyBorder="0" applyAlignment="0" applyProtection="0"/>
    <xf numFmtId="0" fontId="18" fillId="31" borderId="0" applyNumberFormat="0" applyBorder="0" applyAlignment="0" applyProtection="0"/>
    <xf numFmtId="0" fontId="18" fillId="26" borderId="0" applyNumberFormat="0" applyBorder="0" applyAlignment="0" applyProtection="0"/>
    <xf numFmtId="0" fontId="18" fillId="32" borderId="0" applyNumberFormat="0" applyBorder="0" applyAlignment="0" applyProtection="0"/>
    <xf numFmtId="0" fontId="18" fillId="27" borderId="0" applyNumberFormat="0" applyBorder="0" applyAlignment="0" applyProtection="0"/>
    <xf numFmtId="0" fontId="18" fillId="33" borderId="0" applyNumberFormat="0" applyBorder="0" applyAlignment="0" applyProtection="0"/>
    <xf numFmtId="0" fontId="18" fillId="28" borderId="0" applyNumberFormat="0" applyBorder="0" applyAlignment="0" applyProtection="0"/>
    <xf numFmtId="0" fontId="18" fillId="34" borderId="0" applyNumberFormat="0" applyBorder="0" applyAlignment="0" applyProtection="0"/>
    <xf numFmtId="0" fontId="18" fillId="29" borderId="0" applyNumberFormat="0" applyBorder="0" applyAlignment="0" applyProtection="0"/>
    <xf numFmtId="0" fontId="18" fillId="35" borderId="0" applyNumberFormat="0" applyBorder="0" applyAlignment="0" applyProtection="0"/>
    <xf numFmtId="0" fontId="17" fillId="0" borderId="0"/>
    <xf numFmtId="0" fontId="17" fillId="54" borderId="17" applyNumberFormat="0" applyFont="0" applyAlignment="0" applyProtection="0"/>
    <xf numFmtId="0" fontId="17" fillId="24" borderId="0" applyNumberFormat="0" applyBorder="0" applyAlignment="0" applyProtection="0"/>
    <xf numFmtId="0" fontId="17" fillId="30" borderId="0" applyNumberFormat="0" applyBorder="0" applyAlignment="0" applyProtection="0"/>
    <xf numFmtId="0" fontId="17" fillId="25" borderId="0" applyNumberFormat="0" applyBorder="0" applyAlignment="0" applyProtection="0"/>
    <xf numFmtId="0" fontId="17" fillId="31" borderId="0" applyNumberFormat="0" applyBorder="0" applyAlignment="0" applyProtection="0"/>
    <xf numFmtId="0" fontId="17" fillId="26" borderId="0" applyNumberFormat="0" applyBorder="0" applyAlignment="0" applyProtection="0"/>
    <xf numFmtId="0" fontId="17" fillId="32" borderId="0" applyNumberFormat="0" applyBorder="0" applyAlignment="0" applyProtection="0"/>
    <xf numFmtId="0" fontId="17" fillId="27" borderId="0" applyNumberFormat="0" applyBorder="0" applyAlignment="0" applyProtection="0"/>
    <xf numFmtId="0" fontId="17" fillId="33" borderId="0" applyNumberFormat="0" applyBorder="0" applyAlignment="0" applyProtection="0"/>
    <xf numFmtId="0" fontId="17" fillId="28" borderId="0" applyNumberFormat="0" applyBorder="0" applyAlignment="0" applyProtection="0"/>
    <xf numFmtId="0" fontId="17" fillId="34" borderId="0" applyNumberFormat="0" applyBorder="0" applyAlignment="0" applyProtection="0"/>
    <xf numFmtId="0" fontId="17" fillId="29" borderId="0" applyNumberFormat="0" applyBorder="0" applyAlignment="0" applyProtection="0"/>
    <xf numFmtId="0" fontId="17" fillId="35" borderId="0" applyNumberFormat="0" applyBorder="0" applyAlignment="0" applyProtection="0"/>
    <xf numFmtId="0" fontId="16" fillId="0" borderId="0"/>
    <xf numFmtId="0" fontId="16" fillId="54" borderId="17" applyNumberFormat="0" applyFont="0" applyAlignment="0" applyProtection="0"/>
    <xf numFmtId="0" fontId="16" fillId="24" borderId="0" applyNumberFormat="0" applyBorder="0" applyAlignment="0" applyProtection="0"/>
    <xf numFmtId="0" fontId="16" fillId="30" borderId="0" applyNumberFormat="0" applyBorder="0" applyAlignment="0" applyProtection="0"/>
    <xf numFmtId="0" fontId="16" fillId="25" borderId="0" applyNumberFormat="0" applyBorder="0" applyAlignment="0" applyProtection="0"/>
    <xf numFmtId="0" fontId="16" fillId="31" borderId="0" applyNumberFormat="0" applyBorder="0" applyAlignment="0" applyProtection="0"/>
    <xf numFmtId="0" fontId="16" fillId="26" borderId="0" applyNumberFormat="0" applyBorder="0" applyAlignment="0" applyProtection="0"/>
    <xf numFmtId="0" fontId="16" fillId="32" borderId="0" applyNumberFormat="0" applyBorder="0" applyAlignment="0" applyProtection="0"/>
    <xf numFmtId="0" fontId="16" fillId="27" borderId="0" applyNumberFormat="0" applyBorder="0" applyAlignment="0" applyProtection="0"/>
    <xf numFmtId="0" fontId="16" fillId="33" borderId="0" applyNumberFormat="0" applyBorder="0" applyAlignment="0" applyProtection="0"/>
    <xf numFmtId="0" fontId="16" fillId="28" borderId="0" applyNumberFormat="0" applyBorder="0" applyAlignment="0" applyProtection="0"/>
    <xf numFmtId="0" fontId="16" fillId="34" borderId="0" applyNumberFormat="0" applyBorder="0" applyAlignment="0" applyProtection="0"/>
    <xf numFmtId="0" fontId="16" fillId="29" borderId="0" applyNumberFormat="0" applyBorder="0" applyAlignment="0" applyProtection="0"/>
    <xf numFmtId="0" fontId="16" fillId="35" borderId="0" applyNumberFormat="0" applyBorder="0" applyAlignment="0" applyProtection="0"/>
    <xf numFmtId="0" fontId="15" fillId="0" borderId="0"/>
    <xf numFmtId="0" fontId="15" fillId="54" borderId="17" applyNumberFormat="0" applyFont="0" applyAlignment="0" applyProtection="0"/>
    <xf numFmtId="0" fontId="15" fillId="24" borderId="0" applyNumberFormat="0" applyBorder="0" applyAlignment="0" applyProtection="0"/>
    <xf numFmtId="0" fontId="15" fillId="30" borderId="0" applyNumberFormat="0" applyBorder="0" applyAlignment="0" applyProtection="0"/>
    <xf numFmtId="0" fontId="15" fillId="25" borderId="0" applyNumberFormat="0" applyBorder="0" applyAlignment="0" applyProtection="0"/>
    <xf numFmtId="0" fontId="15" fillId="31" borderId="0" applyNumberFormat="0" applyBorder="0" applyAlignment="0" applyProtection="0"/>
    <xf numFmtId="0" fontId="15" fillId="26" borderId="0" applyNumberFormat="0" applyBorder="0" applyAlignment="0" applyProtection="0"/>
    <xf numFmtId="0" fontId="15" fillId="32" borderId="0" applyNumberFormat="0" applyBorder="0" applyAlignment="0" applyProtection="0"/>
    <xf numFmtId="0" fontId="15" fillId="27" borderId="0" applyNumberFormat="0" applyBorder="0" applyAlignment="0" applyProtection="0"/>
    <xf numFmtId="0" fontId="15" fillId="33" borderId="0" applyNumberFormat="0" applyBorder="0" applyAlignment="0" applyProtection="0"/>
    <xf numFmtId="0" fontId="15" fillId="28" borderId="0" applyNumberFormat="0" applyBorder="0" applyAlignment="0" applyProtection="0"/>
    <xf numFmtId="0" fontId="15" fillId="34" borderId="0" applyNumberFormat="0" applyBorder="0" applyAlignment="0" applyProtection="0"/>
    <xf numFmtId="0" fontId="15" fillId="29" borderId="0" applyNumberFormat="0" applyBorder="0" applyAlignment="0" applyProtection="0"/>
    <xf numFmtId="0" fontId="15" fillId="35" borderId="0" applyNumberFormat="0" applyBorder="0" applyAlignment="0" applyProtection="0"/>
    <xf numFmtId="0" fontId="14" fillId="0" borderId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54" borderId="17" applyNumberFormat="0" applyFont="0" applyAlignment="0" applyProtection="0"/>
    <xf numFmtId="0" fontId="13" fillId="0" borderId="0"/>
    <xf numFmtId="0" fontId="13" fillId="54" borderId="17" applyNumberFormat="0" applyFont="0" applyAlignment="0" applyProtection="0"/>
    <xf numFmtId="0" fontId="13" fillId="24" borderId="0" applyNumberFormat="0" applyBorder="0" applyAlignment="0" applyProtection="0"/>
    <xf numFmtId="0" fontId="13" fillId="30" borderId="0" applyNumberFormat="0" applyBorder="0" applyAlignment="0" applyProtection="0"/>
    <xf numFmtId="0" fontId="13" fillId="25" borderId="0" applyNumberFormat="0" applyBorder="0" applyAlignment="0" applyProtection="0"/>
    <xf numFmtId="0" fontId="13" fillId="31" borderId="0" applyNumberFormat="0" applyBorder="0" applyAlignment="0" applyProtection="0"/>
    <xf numFmtId="0" fontId="13" fillId="26" borderId="0" applyNumberFormat="0" applyBorder="0" applyAlignment="0" applyProtection="0"/>
    <xf numFmtId="0" fontId="13" fillId="32" borderId="0" applyNumberFormat="0" applyBorder="0" applyAlignment="0" applyProtection="0"/>
    <xf numFmtId="0" fontId="13" fillId="27" borderId="0" applyNumberFormat="0" applyBorder="0" applyAlignment="0" applyProtection="0"/>
    <xf numFmtId="0" fontId="13" fillId="33" borderId="0" applyNumberFormat="0" applyBorder="0" applyAlignment="0" applyProtection="0"/>
    <xf numFmtId="0" fontId="13" fillId="28" borderId="0" applyNumberFormat="0" applyBorder="0" applyAlignment="0" applyProtection="0"/>
    <xf numFmtId="0" fontId="13" fillId="34" borderId="0" applyNumberFormat="0" applyBorder="0" applyAlignment="0" applyProtection="0"/>
    <xf numFmtId="0" fontId="13" fillId="29" borderId="0" applyNumberFormat="0" applyBorder="0" applyAlignment="0" applyProtection="0"/>
    <xf numFmtId="0" fontId="13" fillId="35" borderId="0" applyNumberFormat="0" applyBorder="0" applyAlignment="0" applyProtection="0"/>
    <xf numFmtId="0" fontId="12" fillId="0" borderId="0"/>
    <xf numFmtId="0" fontId="12" fillId="54" borderId="17" applyNumberFormat="0" applyFont="0" applyAlignment="0" applyProtection="0"/>
    <xf numFmtId="0" fontId="12" fillId="24" borderId="0" applyNumberFormat="0" applyBorder="0" applyAlignment="0" applyProtection="0"/>
    <xf numFmtId="0" fontId="12" fillId="30" borderId="0" applyNumberFormat="0" applyBorder="0" applyAlignment="0" applyProtection="0"/>
    <xf numFmtId="0" fontId="12" fillId="25" borderId="0" applyNumberFormat="0" applyBorder="0" applyAlignment="0" applyProtection="0"/>
    <xf numFmtId="0" fontId="12" fillId="31" borderId="0" applyNumberFormat="0" applyBorder="0" applyAlignment="0" applyProtection="0"/>
    <xf numFmtId="0" fontId="12" fillId="26" borderId="0" applyNumberFormat="0" applyBorder="0" applyAlignment="0" applyProtection="0"/>
    <xf numFmtId="0" fontId="12" fillId="32" borderId="0" applyNumberFormat="0" applyBorder="0" applyAlignment="0" applyProtection="0"/>
    <xf numFmtId="0" fontId="12" fillId="27" borderId="0" applyNumberFormat="0" applyBorder="0" applyAlignment="0" applyProtection="0"/>
    <xf numFmtId="0" fontId="12" fillId="33" borderId="0" applyNumberFormat="0" applyBorder="0" applyAlignment="0" applyProtection="0"/>
    <xf numFmtId="0" fontId="12" fillId="28" borderId="0" applyNumberFormat="0" applyBorder="0" applyAlignment="0" applyProtection="0"/>
    <xf numFmtId="0" fontId="12" fillId="34" borderId="0" applyNumberFormat="0" applyBorder="0" applyAlignment="0" applyProtection="0"/>
    <xf numFmtId="0" fontId="12" fillId="29" borderId="0" applyNumberFormat="0" applyBorder="0" applyAlignment="0" applyProtection="0"/>
    <xf numFmtId="0" fontId="12" fillId="35" borderId="0" applyNumberFormat="0" applyBorder="0" applyAlignment="0" applyProtection="0"/>
    <xf numFmtId="0" fontId="11" fillId="0" borderId="0"/>
    <xf numFmtId="0" fontId="11" fillId="24" borderId="0" applyNumberFormat="0" applyBorder="0" applyAlignment="0" applyProtection="0"/>
    <xf numFmtId="0" fontId="11" fillId="26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4" borderId="0" applyNumberFormat="0" applyBorder="0" applyAlignment="0" applyProtection="0"/>
    <xf numFmtId="0" fontId="11" fillId="27" borderId="0" applyNumberFormat="0" applyBorder="0" applyAlignment="0" applyProtection="0"/>
    <xf numFmtId="0" fontId="11" fillId="54" borderId="17" applyNumberFormat="0" applyFont="0" applyAlignment="0" applyProtection="0"/>
    <xf numFmtId="0" fontId="11" fillId="26" borderId="0" applyNumberFormat="0" applyBorder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28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30" borderId="0" applyNumberFormat="0" applyBorder="0" applyAlignment="0" applyProtection="0"/>
    <xf numFmtId="0" fontId="11" fillId="28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8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9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27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54" borderId="17" applyNumberFormat="0" applyFont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1" fillId="0" borderId="0"/>
    <xf numFmtId="0" fontId="11" fillId="54" borderId="17" applyNumberFormat="0" applyFont="0" applyAlignment="0" applyProtection="0"/>
    <xf numFmtId="0" fontId="11" fillId="24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31" borderId="0" applyNumberFormat="0" applyBorder="0" applyAlignment="0" applyProtection="0"/>
    <xf numFmtId="0" fontId="11" fillId="26" borderId="0" applyNumberFormat="0" applyBorder="0" applyAlignment="0" applyProtection="0"/>
    <xf numFmtId="0" fontId="11" fillId="32" borderId="0" applyNumberFormat="0" applyBorder="0" applyAlignment="0" applyProtection="0"/>
    <xf numFmtId="0" fontId="11" fillId="27" borderId="0" applyNumberFormat="0" applyBorder="0" applyAlignment="0" applyProtection="0"/>
    <xf numFmtId="0" fontId="11" fillId="33" borderId="0" applyNumberFormat="0" applyBorder="0" applyAlignment="0" applyProtection="0"/>
    <xf numFmtId="0" fontId="11" fillId="28" borderId="0" applyNumberFormat="0" applyBorder="0" applyAlignment="0" applyProtection="0"/>
    <xf numFmtId="0" fontId="11" fillId="34" borderId="0" applyNumberFormat="0" applyBorder="0" applyAlignment="0" applyProtection="0"/>
    <xf numFmtId="0" fontId="11" fillId="29" borderId="0" applyNumberFormat="0" applyBorder="0" applyAlignment="0" applyProtection="0"/>
    <xf numFmtId="0" fontId="11" fillId="35" borderId="0" applyNumberFormat="0" applyBorder="0" applyAlignment="0" applyProtection="0"/>
    <xf numFmtId="0" fontId="10" fillId="0" borderId="0"/>
    <xf numFmtId="0" fontId="10" fillId="54" borderId="17" applyNumberFormat="0" applyFont="0" applyAlignment="0" applyProtection="0"/>
    <xf numFmtId="0" fontId="10" fillId="24" borderId="0" applyNumberFormat="0" applyBorder="0" applyAlignment="0" applyProtection="0"/>
    <xf numFmtId="0" fontId="10" fillId="30" borderId="0" applyNumberFormat="0" applyBorder="0" applyAlignment="0" applyProtection="0"/>
    <xf numFmtId="0" fontId="10" fillId="25" borderId="0" applyNumberFormat="0" applyBorder="0" applyAlignment="0" applyProtection="0"/>
    <xf numFmtId="0" fontId="10" fillId="31" borderId="0" applyNumberFormat="0" applyBorder="0" applyAlignment="0" applyProtection="0"/>
    <xf numFmtId="0" fontId="10" fillId="26" borderId="0" applyNumberFormat="0" applyBorder="0" applyAlignment="0" applyProtection="0"/>
    <xf numFmtId="0" fontId="10" fillId="32" borderId="0" applyNumberFormat="0" applyBorder="0" applyAlignment="0" applyProtection="0"/>
    <xf numFmtId="0" fontId="10" fillId="27" borderId="0" applyNumberFormat="0" applyBorder="0" applyAlignment="0" applyProtection="0"/>
    <xf numFmtId="0" fontId="10" fillId="33" borderId="0" applyNumberFormat="0" applyBorder="0" applyAlignment="0" applyProtection="0"/>
    <xf numFmtId="0" fontId="10" fillId="28" borderId="0" applyNumberFormat="0" applyBorder="0" applyAlignment="0" applyProtection="0"/>
    <xf numFmtId="0" fontId="10" fillId="34" borderId="0" applyNumberFormat="0" applyBorder="0" applyAlignment="0" applyProtection="0"/>
    <xf numFmtId="0" fontId="10" fillId="29" borderId="0" applyNumberFormat="0" applyBorder="0" applyAlignment="0" applyProtection="0"/>
    <xf numFmtId="0" fontId="10" fillId="35" borderId="0" applyNumberFormat="0" applyBorder="0" applyAlignment="0" applyProtection="0"/>
    <xf numFmtId="0" fontId="9" fillId="0" borderId="0"/>
    <xf numFmtId="0" fontId="9" fillId="54" borderId="17" applyNumberFormat="0" applyFont="0" applyAlignment="0" applyProtection="0"/>
    <xf numFmtId="0" fontId="9" fillId="24" borderId="0" applyNumberFormat="0" applyBorder="0" applyAlignment="0" applyProtection="0"/>
    <xf numFmtId="0" fontId="9" fillId="30" borderId="0" applyNumberFormat="0" applyBorder="0" applyAlignment="0" applyProtection="0"/>
    <xf numFmtId="0" fontId="9" fillId="25" borderId="0" applyNumberFormat="0" applyBorder="0" applyAlignment="0" applyProtection="0"/>
    <xf numFmtId="0" fontId="9" fillId="31" borderId="0" applyNumberFormat="0" applyBorder="0" applyAlignment="0" applyProtection="0"/>
    <xf numFmtId="0" fontId="9" fillId="26" borderId="0" applyNumberFormat="0" applyBorder="0" applyAlignment="0" applyProtection="0"/>
    <xf numFmtId="0" fontId="9" fillId="32" borderId="0" applyNumberFormat="0" applyBorder="0" applyAlignment="0" applyProtection="0"/>
    <xf numFmtId="0" fontId="9" fillId="27" borderId="0" applyNumberFormat="0" applyBorder="0" applyAlignment="0" applyProtection="0"/>
    <xf numFmtId="0" fontId="9" fillId="33" borderId="0" applyNumberFormat="0" applyBorder="0" applyAlignment="0" applyProtection="0"/>
    <xf numFmtId="0" fontId="9" fillId="28" borderId="0" applyNumberFormat="0" applyBorder="0" applyAlignment="0" applyProtection="0"/>
    <xf numFmtId="0" fontId="9" fillId="34" borderId="0" applyNumberFormat="0" applyBorder="0" applyAlignment="0" applyProtection="0"/>
    <xf numFmtId="0" fontId="9" fillId="29" borderId="0" applyNumberFormat="0" applyBorder="0" applyAlignment="0" applyProtection="0"/>
    <xf numFmtId="0" fontId="9" fillId="35" borderId="0" applyNumberFormat="0" applyBorder="0" applyAlignment="0" applyProtection="0"/>
    <xf numFmtId="0" fontId="8" fillId="0" borderId="0"/>
    <xf numFmtId="0" fontId="8" fillId="54" borderId="17" applyNumberFormat="0" applyFont="0" applyAlignment="0" applyProtection="0"/>
    <xf numFmtId="0" fontId="8" fillId="24" borderId="0" applyNumberFormat="0" applyBorder="0" applyAlignment="0" applyProtection="0"/>
    <xf numFmtId="0" fontId="8" fillId="30" borderId="0" applyNumberFormat="0" applyBorder="0" applyAlignment="0" applyProtection="0"/>
    <xf numFmtId="0" fontId="8" fillId="25" borderId="0" applyNumberFormat="0" applyBorder="0" applyAlignment="0" applyProtection="0"/>
    <xf numFmtId="0" fontId="8" fillId="31" borderId="0" applyNumberFormat="0" applyBorder="0" applyAlignment="0" applyProtection="0"/>
    <xf numFmtId="0" fontId="8" fillId="26" borderId="0" applyNumberFormat="0" applyBorder="0" applyAlignment="0" applyProtection="0"/>
    <xf numFmtId="0" fontId="8" fillId="32" borderId="0" applyNumberFormat="0" applyBorder="0" applyAlignment="0" applyProtection="0"/>
    <xf numFmtId="0" fontId="8" fillId="27" borderId="0" applyNumberFormat="0" applyBorder="0" applyAlignment="0" applyProtection="0"/>
    <xf numFmtId="0" fontId="8" fillId="33" borderId="0" applyNumberFormat="0" applyBorder="0" applyAlignment="0" applyProtection="0"/>
    <xf numFmtId="0" fontId="8" fillId="28" borderId="0" applyNumberFormat="0" applyBorder="0" applyAlignment="0" applyProtection="0"/>
    <xf numFmtId="0" fontId="8" fillId="34" borderId="0" applyNumberFormat="0" applyBorder="0" applyAlignment="0" applyProtection="0"/>
    <xf numFmtId="0" fontId="8" fillId="29" borderId="0" applyNumberFormat="0" applyBorder="0" applyAlignment="0" applyProtection="0"/>
    <xf numFmtId="0" fontId="8" fillId="35" borderId="0" applyNumberFormat="0" applyBorder="0" applyAlignment="0" applyProtection="0"/>
    <xf numFmtId="0" fontId="7" fillId="0" borderId="0"/>
    <xf numFmtId="0" fontId="7" fillId="54" borderId="17" applyNumberFormat="0" applyFont="0" applyAlignment="0" applyProtection="0"/>
    <xf numFmtId="0" fontId="7" fillId="24" borderId="0" applyNumberFormat="0" applyBorder="0" applyAlignment="0" applyProtection="0"/>
    <xf numFmtId="0" fontId="7" fillId="30" borderId="0" applyNumberFormat="0" applyBorder="0" applyAlignment="0" applyProtection="0"/>
    <xf numFmtId="0" fontId="7" fillId="25" borderId="0" applyNumberFormat="0" applyBorder="0" applyAlignment="0" applyProtection="0"/>
    <xf numFmtId="0" fontId="7" fillId="31" borderId="0" applyNumberFormat="0" applyBorder="0" applyAlignment="0" applyProtection="0"/>
    <xf numFmtId="0" fontId="7" fillId="26" borderId="0" applyNumberFormat="0" applyBorder="0" applyAlignment="0" applyProtection="0"/>
    <xf numFmtId="0" fontId="7" fillId="32" borderId="0" applyNumberFormat="0" applyBorder="0" applyAlignment="0" applyProtection="0"/>
    <xf numFmtId="0" fontId="7" fillId="27" borderId="0" applyNumberFormat="0" applyBorder="0" applyAlignment="0" applyProtection="0"/>
    <xf numFmtId="0" fontId="7" fillId="33" borderId="0" applyNumberFormat="0" applyBorder="0" applyAlignment="0" applyProtection="0"/>
    <xf numFmtId="0" fontId="7" fillId="28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5" borderId="0" applyNumberFormat="0" applyBorder="0" applyAlignment="0" applyProtection="0"/>
    <xf numFmtId="0" fontId="6" fillId="0" borderId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54" borderId="17" applyNumberFormat="0" applyFont="0" applyAlignment="0" applyProtection="0"/>
    <xf numFmtId="0" fontId="5" fillId="0" borderId="0"/>
    <xf numFmtId="0" fontId="5" fillId="54" borderId="17" applyNumberFormat="0" applyFont="0" applyAlignment="0" applyProtection="0"/>
    <xf numFmtId="0" fontId="5" fillId="24" borderId="0" applyNumberFormat="0" applyBorder="0" applyAlignment="0" applyProtection="0"/>
    <xf numFmtId="0" fontId="5" fillId="30" borderId="0" applyNumberFormat="0" applyBorder="0" applyAlignment="0" applyProtection="0"/>
    <xf numFmtId="0" fontId="5" fillId="25" borderId="0" applyNumberFormat="0" applyBorder="0" applyAlignment="0" applyProtection="0"/>
    <xf numFmtId="0" fontId="5" fillId="31" borderId="0" applyNumberFormat="0" applyBorder="0" applyAlignment="0" applyProtection="0"/>
    <xf numFmtId="0" fontId="5" fillId="26" borderId="0" applyNumberFormat="0" applyBorder="0" applyAlignment="0" applyProtection="0"/>
    <xf numFmtId="0" fontId="5" fillId="32" borderId="0" applyNumberFormat="0" applyBorder="0" applyAlignment="0" applyProtection="0"/>
    <xf numFmtId="0" fontId="5" fillId="27" borderId="0" applyNumberFormat="0" applyBorder="0" applyAlignment="0" applyProtection="0"/>
    <xf numFmtId="0" fontId="5" fillId="33" borderId="0" applyNumberFormat="0" applyBorder="0" applyAlignment="0" applyProtection="0"/>
    <xf numFmtId="0" fontId="5" fillId="28" borderId="0" applyNumberFormat="0" applyBorder="0" applyAlignment="0" applyProtection="0"/>
    <xf numFmtId="0" fontId="5" fillId="34" borderId="0" applyNumberFormat="0" applyBorder="0" applyAlignment="0" applyProtection="0"/>
    <xf numFmtId="0" fontId="5" fillId="29" borderId="0" applyNumberFormat="0" applyBorder="0" applyAlignment="0" applyProtection="0"/>
    <xf numFmtId="0" fontId="5" fillId="35" borderId="0" applyNumberFormat="0" applyBorder="0" applyAlignment="0" applyProtection="0"/>
    <xf numFmtId="0" fontId="4" fillId="0" borderId="0"/>
    <xf numFmtId="0" fontId="4" fillId="54" borderId="17" applyNumberFormat="0" applyFont="0" applyAlignment="0" applyProtection="0"/>
    <xf numFmtId="0" fontId="4" fillId="24" borderId="0" applyNumberFormat="0" applyBorder="0" applyAlignment="0" applyProtection="0"/>
    <xf numFmtId="0" fontId="4" fillId="30" borderId="0" applyNumberFormat="0" applyBorder="0" applyAlignment="0" applyProtection="0"/>
    <xf numFmtId="0" fontId="4" fillId="25" borderId="0" applyNumberFormat="0" applyBorder="0" applyAlignment="0" applyProtection="0"/>
    <xf numFmtId="0" fontId="4" fillId="31" borderId="0" applyNumberFormat="0" applyBorder="0" applyAlignment="0" applyProtection="0"/>
    <xf numFmtId="0" fontId="4" fillId="26" borderId="0" applyNumberFormat="0" applyBorder="0" applyAlignment="0" applyProtection="0"/>
    <xf numFmtId="0" fontId="4" fillId="32" borderId="0" applyNumberFormat="0" applyBorder="0" applyAlignment="0" applyProtection="0"/>
    <xf numFmtId="0" fontId="4" fillId="27" borderId="0" applyNumberFormat="0" applyBorder="0" applyAlignment="0" applyProtection="0"/>
    <xf numFmtId="0" fontId="4" fillId="33" borderId="0" applyNumberFormat="0" applyBorder="0" applyAlignment="0" applyProtection="0"/>
    <xf numFmtId="0" fontId="4" fillId="28" borderId="0" applyNumberFormat="0" applyBorder="0" applyAlignment="0" applyProtection="0"/>
    <xf numFmtId="0" fontId="4" fillId="34" borderId="0" applyNumberFormat="0" applyBorder="0" applyAlignment="0" applyProtection="0"/>
    <xf numFmtId="0" fontId="4" fillId="29" borderId="0" applyNumberFormat="0" applyBorder="0" applyAlignment="0" applyProtection="0"/>
    <xf numFmtId="0" fontId="4" fillId="35" borderId="0" applyNumberFormat="0" applyBorder="0" applyAlignment="0" applyProtection="0"/>
    <xf numFmtId="0" fontId="3" fillId="0" borderId="0"/>
    <xf numFmtId="0" fontId="3" fillId="54" borderId="17" applyNumberFormat="0" applyFont="0" applyAlignment="0" applyProtection="0"/>
    <xf numFmtId="0" fontId="3" fillId="24" borderId="0" applyNumberFormat="0" applyBorder="0" applyAlignment="0" applyProtection="0"/>
    <xf numFmtId="0" fontId="3" fillId="30" borderId="0" applyNumberFormat="0" applyBorder="0" applyAlignment="0" applyProtection="0"/>
    <xf numFmtId="0" fontId="3" fillId="25" borderId="0" applyNumberFormat="0" applyBorder="0" applyAlignment="0" applyProtection="0"/>
    <xf numFmtId="0" fontId="3" fillId="31" borderId="0" applyNumberFormat="0" applyBorder="0" applyAlignment="0" applyProtection="0"/>
    <xf numFmtId="0" fontId="3" fillId="26" borderId="0" applyNumberFormat="0" applyBorder="0" applyAlignment="0" applyProtection="0"/>
    <xf numFmtId="0" fontId="3" fillId="32" borderId="0" applyNumberFormat="0" applyBorder="0" applyAlignment="0" applyProtection="0"/>
    <xf numFmtId="0" fontId="3" fillId="27" borderId="0" applyNumberFormat="0" applyBorder="0" applyAlignment="0" applyProtection="0"/>
    <xf numFmtId="0" fontId="3" fillId="33" borderId="0" applyNumberFormat="0" applyBorder="0" applyAlignment="0" applyProtection="0"/>
    <xf numFmtId="0" fontId="3" fillId="28" borderId="0" applyNumberFormat="0" applyBorder="0" applyAlignment="0" applyProtection="0"/>
    <xf numFmtId="0" fontId="3" fillId="34" borderId="0" applyNumberFormat="0" applyBorder="0" applyAlignment="0" applyProtection="0"/>
    <xf numFmtId="0" fontId="3" fillId="29" borderId="0" applyNumberFormat="0" applyBorder="0" applyAlignment="0" applyProtection="0"/>
    <xf numFmtId="0" fontId="3" fillId="35" borderId="0" applyNumberFormat="0" applyBorder="0" applyAlignment="0" applyProtection="0"/>
    <xf numFmtId="0" fontId="2" fillId="0" borderId="0"/>
    <xf numFmtId="0" fontId="2" fillId="54" borderId="17" applyNumberFormat="0" applyFont="0" applyAlignment="0" applyProtection="0"/>
    <xf numFmtId="0" fontId="2" fillId="24" borderId="0" applyNumberFormat="0" applyBorder="0" applyAlignment="0" applyProtection="0"/>
    <xf numFmtId="0" fontId="2" fillId="30" borderId="0" applyNumberFormat="0" applyBorder="0" applyAlignment="0" applyProtection="0"/>
    <xf numFmtId="0" fontId="2" fillId="25" borderId="0" applyNumberFormat="0" applyBorder="0" applyAlignment="0" applyProtection="0"/>
    <xf numFmtId="0" fontId="2" fillId="31" borderId="0" applyNumberFormat="0" applyBorder="0" applyAlignment="0" applyProtection="0"/>
    <xf numFmtId="0" fontId="2" fillId="26" borderId="0" applyNumberFormat="0" applyBorder="0" applyAlignment="0" applyProtection="0"/>
    <xf numFmtId="0" fontId="2" fillId="32" borderId="0" applyNumberFormat="0" applyBorder="0" applyAlignment="0" applyProtection="0"/>
    <xf numFmtId="0" fontId="2" fillId="27" borderId="0" applyNumberFormat="0" applyBorder="0" applyAlignment="0" applyProtection="0"/>
    <xf numFmtId="0" fontId="2" fillId="33" borderId="0" applyNumberFormat="0" applyBorder="0" applyAlignment="0" applyProtection="0"/>
    <xf numFmtId="0" fontId="2" fillId="28" borderId="0" applyNumberFormat="0" applyBorder="0" applyAlignment="0" applyProtection="0"/>
    <xf numFmtId="0" fontId="2" fillId="34" borderId="0" applyNumberFormat="0" applyBorder="0" applyAlignment="0" applyProtection="0"/>
    <xf numFmtId="0" fontId="2" fillId="29" borderId="0" applyNumberFormat="0" applyBorder="0" applyAlignment="0" applyProtection="0"/>
    <xf numFmtId="0" fontId="2" fillId="35" borderId="0" applyNumberFormat="0" applyBorder="0" applyAlignment="0" applyProtection="0"/>
    <xf numFmtId="0" fontId="1" fillId="0" borderId="0"/>
    <xf numFmtId="0" fontId="1" fillId="54" borderId="17" applyNumberFormat="0" applyFont="0" applyAlignment="0" applyProtection="0"/>
    <xf numFmtId="0" fontId="1" fillId="24" borderId="0" applyNumberFormat="0" applyBorder="0" applyAlignment="0" applyProtection="0"/>
    <xf numFmtId="0" fontId="1" fillId="30" borderId="0" applyNumberFormat="0" applyBorder="0" applyAlignment="0" applyProtection="0"/>
    <xf numFmtId="0" fontId="1" fillId="25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32" borderId="0" applyNumberFormat="0" applyBorder="0" applyAlignment="0" applyProtection="0"/>
    <xf numFmtId="0" fontId="1" fillId="27" borderId="0" applyNumberFormat="0" applyBorder="0" applyAlignment="0" applyProtection="0"/>
    <xf numFmtId="0" fontId="1" fillId="33" borderId="0" applyNumberFormat="0" applyBorder="0" applyAlignment="0" applyProtection="0"/>
    <xf numFmtId="0" fontId="1" fillId="28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35" borderId="0" applyNumberFormat="0" applyBorder="0" applyAlignment="0" applyProtection="0"/>
  </cellStyleXfs>
  <cellXfs count="134">
    <xf numFmtId="0" fontId="0" fillId="0" borderId="0" xfId="0"/>
    <xf numFmtId="0" fontId="87" fillId="0" borderId="21" xfId="0" applyFont="1" applyBorder="1"/>
    <xf numFmtId="0" fontId="87" fillId="0" borderId="21" xfId="0" applyFont="1" applyBorder="1" applyAlignment="1">
      <alignment horizontal="center"/>
    </xf>
    <xf numFmtId="0" fontId="87" fillId="0" borderId="21" xfId="0" applyFont="1" applyFill="1" applyBorder="1"/>
    <xf numFmtId="0" fontId="87" fillId="0" borderId="0" xfId="0" applyFont="1" applyBorder="1" applyAlignment="1">
      <alignment vertical="center"/>
    </xf>
    <xf numFmtId="0" fontId="87" fillId="0" borderId="0" xfId="0" applyFont="1"/>
    <xf numFmtId="0" fontId="87" fillId="0" borderId="0" xfId="0" applyFont="1" applyAlignment="1">
      <alignment horizontal="center"/>
    </xf>
    <xf numFmtId="0" fontId="87" fillId="0" borderId="20" xfId="0" applyFont="1" applyFill="1" applyBorder="1"/>
    <xf numFmtId="0" fontId="87" fillId="0" borderId="22" xfId="0" applyFont="1" applyBorder="1"/>
    <xf numFmtId="0" fontId="87" fillId="0" borderId="22" xfId="0" applyFont="1" applyBorder="1" applyAlignment="1">
      <alignment horizontal="center"/>
    </xf>
    <xf numFmtId="0" fontId="87" fillId="0" borderId="22" xfId="0" applyFont="1" applyFill="1" applyBorder="1"/>
    <xf numFmtId="0" fontId="90" fillId="0" borderId="0" xfId="0" applyFont="1" applyBorder="1" applyAlignment="1">
      <alignment vertical="center"/>
    </xf>
    <xf numFmtId="0" fontId="89" fillId="0" borderId="0" xfId="0" applyFont="1"/>
    <xf numFmtId="0" fontId="90" fillId="0" borderId="0" xfId="0" applyFont="1"/>
    <xf numFmtId="0" fontId="94" fillId="0" borderId="0" xfId="0" applyFont="1"/>
    <xf numFmtId="0" fontId="91" fillId="0" borderId="0" xfId="0" applyFont="1" applyAlignment="1">
      <alignment vertical="center"/>
    </xf>
    <xf numFmtId="0" fontId="96" fillId="55" borderId="10" xfId="0" applyNumberFormat="1" applyFont="1" applyFill="1" applyBorder="1" applyAlignment="1">
      <alignment horizontal="center"/>
    </xf>
    <xf numFmtId="0" fontId="96" fillId="55" borderId="10" xfId="0" applyFont="1" applyFill="1" applyBorder="1" applyAlignment="1">
      <alignment horizontal="center"/>
    </xf>
    <xf numFmtId="1" fontId="96" fillId="55" borderId="10" xfId="0" applyNumberFormat="1" applyFont="1" applyFill="1" applyBorder="1" applyAlignment="1">
      <alignment horizontal="center"/>
    </xf>
    <xf numFmtId="0" fontId="96" fillId="55" borderId="10" xfId="0" applyFont="1" applyFill="1" applyBorder="1" applyAlignment="1">
      <alignment horizontal="left"/>
    </xf>
    <xf numFmtId="0" fontId="96" fillId="55" borderId="10" xfId="0" applyNumberFormat="1" applyFont="1" applyFill="1" applyBorder="1" applyAlignment="1"/>
    <xf numFmtId="0" fontId="97" fillId="55" borderId="10" xfId="351" applyFont="1" applyFill="1" applyBorder="1"/>
    <xf numFmtId="0" fontId="97" fillId="0" borderId="10" xfId="351" applyFont="1" applyFill="1" applyBorder="1"/>
    <xf numFmtId="0" fontId="96" fillId="0" borderId="10" xfId="0" applyFont="1" applyFill="1" applyBorder="1" applyAlignment="1">
      <alignment horizontal="left"/>
    </xf>
    <xf numFmtId="0" fontId="96" fillId="55" borderId="10" xfId="0" applyFont="1" applyFill="1" applyBorder="1" applyAlignment="1">
      <alignment horizontal="center" vertical="center" wrapText="1"/>
    </xf>
    <xf numFmtId="1" fontId="96" fillId="55" borderId="10" xfId="0" applyNumberFormat="1" applyFont="1" applyFill="1" applyBorder="1" applyAlignment="1">
      <alignment horizontal="center" vertical="center" wrapText="1"/>
    </xf>
    <xf numFmtId="0" fontId="96" fillId="0" borderId="10" xfId="0" applyFont="1" applyFill="1" applyBorder="1" applyAlignment="1">
      <alignment horizontal="center" vertical="center" wrapText="1"/>
    </xf>
    <xf numFmtId="0" fontId="95" fillId="0" borderId="10" xfId="0" applyFont="1" applyFill="1" applyBorder="1" applyAlignment="1">
      <alignment horizontal="left"/>
    </xf>
    <xf numFmtId="0" fontId="95" fillId="56" borderId="10" xfId="0" applyFont="1" applyFill="1" applyBorder="1" applyAlignment="1">
      <alignment horizontal="left"/>
    </xf>
    <xf numFmtId="0" fontId="95" fillId="0" borderId="10" xfId="0" applyFont="1" applyBorder="1" applyAlignment="1">
      <alignment horizontal="left"/>
    </xf>
    <xf numFmtId="0" fontId="95" fillId="0" borderId="10" xfId="0" applyFont="1" applyBorder="1" applyAlignment="1">
      <alignment horizontal="center"/>
    </xf>
    <xf numFmtId="1" fontId="95" fillId="56" borderId="10" xfId="0" applyNumberFormat="1" applyFont="1" applyFill="1" applyBorder="1" applyAlignment="1">
      <alignment horizontal="center"/>
    </xf>
    <xf numFmtId="0" fontId="95" fillId="0" borderId="10" xfId="0" applyFont="1" applyBorder="1" applyAlignment="1"/>
    <xf numFmtId="0" fontId="97" fillId="0" borderId="23" xfId="351" applyFont="1" applyFill="1" applyBorder="1"/>
    <xf numFmtId="0" fontId="99" fillId="0" borderId="0" xfId="0" applyFont="1"/>
    <xf numFmtId="0" fontId="99" fillId="0" borderId="10" xfId="0" applyFont="1" applyBorder="1"/>
    <xf numFmtId="0" fontId="87" fillId="0" borderId="0" xfId="0" applyFont="1" applyFill="1" applyBorder="1" applyAlignment="1">
      <alignment horizontal="center"/>
    </xf>
    <xf numFmtId="0" fontId="99" fillId="0" borderId="0" xfId="0" applyFont="1" applyAlignment="1">
      <alignment horizontal="center"/>
    </xf>
    <xf numFmtId="0" fontId="98" fillId="0" borderId="10" xfId="351" applyFont="1" applyFill="1" applyBorder="1" applyAlignment="1">
      <alignment horizontal="center" vertical="center" wrapText="1"/>
    </xf>
    <xf numFmtId="0" fontId="98" fillId="0" borderId="23" xfId="351" applyFont="1" applyFill="1" applyBorder="1" applyAlignment="1">
      <alignment horizontal="center" vertical="center" wrapText="1"/>
    </xf>
    <xf numFmtId="0" fontId="98" fillId="55" borderId="10" xfId="351" applyFont="1" applyFill="1" applyBorder="1" applyAlignment="1">
      <alignment horizontal="center" vertical="center" wrapText="1"/>
    </xf>
    <xf numFmtId="14" fontId="99" fillId="0" borderId="10" xfId="0" applyNumberFormat="1" applyFont="1" applyBorder="1" applyAlignment="1">
      <alignment horizontal="left"/>
    </xf>
    <xf numFmtId="0" fontId="99" fillId="0" borderId="10" xfId="0" applyFont="1" applyBorder="1" applyAlignment="1">
      <alignment horizontal="center"/>
    </xf>
    <xf numFmtId="0" fontId="95" fillId="0" borderId="24" xfId="0" applyFont="1" applyBorder="1" applyAlignment="1">
      <alignment horizontal="left"/>
    </xf>
    <xf numFmtId="14" fontId="99" fillId="0" borderId="24" xfId="0" applyNumberFormat="1" applyFont="1" applyBorder="1" applyAlignment="1">
      <alignment horizontal="left"/>
    </xf>
    <xf numFmtId="0" fontId="99" fillId="0" borderId="24" xfId="0" applyFont="1" applyBorder="1" applyAlignment="1">
      <alignment horizontal="center"/>
    </xf>
    <xf numFmtId="0" fontId="99" fillId="0" borderId="24" xfId="0" applyFont="1" applyBorder="1"/>
    <xf numFmtId="0" fontId="99" fillId="0" borderId="10" xfId="0" applyFont="1" applyFill="1" applyBorder="1"/>
    <xf numFmtId="0" fontId="99" fillId="0" borderId="24" xfId="0" applyFont="1" applyFill="1" applyBorder="1"/>
    <xf numFmtId="0" fontId="95" fillId="0" borderId="24" xfId="0" applyFont="1" applyBorder="1" applyAlignment="1">
      <alignment horizontal="center"/>
    </xf>
    <xf numFmtId="14" fontId="96" fillId="55" borderId="10" xfId="0" applyNumberFormat="1" applyFont="1" applyFill="1" applyBorder="1" applyAlignment="1">
      <alignment horizontal="left"/>
    </xf>
    <xf numFmtId="14" fontId="96" fillId="55" borderId="10" xfId="0" applyNumberFormat="1" applyFont="1" applyFill="1" applyBorder="1" applyAlignment="1">
      <alignment horizontal="left" vertical="center" wrapText="1"/>
    </xf>
    <xf numFmtId="14" fontId="95" fillId="0" borderId="10" xfId="0" applyNumberFormat="1" applyFont="1" applyBorder="1" applyAlignment="1">
      <alignment horizontal="left"/>
    </xf>
    <xf numFmtId="0" fontId="90" fillId="0" borderId="0" xfId="0" applyFont="1" applyFill="1" applyBorder="1" applyAlignment="1">
      <alignment horizontal="center"/>
    </xf>
    <xf numFmtId="0" fontId="90" fillId="0" borderId="0" xfId="0" applyFont="1" applyBorder="1"/>
    <xf numFmtId="0" fontId="94" fillId="0" borderId="0" xfId="0" applyFont="1" applyFill="1" applyBorder="1" applyAlignment="1">
      <alignment horizontal="center"/>
    </xf>
    <xf numFmtId="0" fontId="91" fillId="0" borderId="0" xfId="0" applyFont="1" applyFill="1" applyBorder="1" applyAlignment="1">
      <alignment horizontal="center" vertical="center"/>
    </xf>
    <xf numFmtId="0" fontId="91" fillId="0" borderId="0" xfId="0" applyFont="1" applyBorder="1" applyAlignment="1">
      <alignment vertical="center"/>
    </xf>
    <xf numFmtId="0" fontId="89" fillId="0" borderId="0" xfId="0" applyFont="1" applyBorder="1"/>
    <xf numFmtId="0" fontId="99" fillId="0" borderId="0" xfId="0" applyFont="1" applyBorder="1"/>
    <xf numFmtId="0" fontId="89" fillId="0" borderId="0" xfId="0" applyFont="1" applyFill="1" applyBorder="1" applyAlignment="1">
      <alignment horizontal="center"/>
    </xf>
    <xf numFmtId="14" fontId="99" fillId="0" borderId="10" xfId="0" applyNumberFormat="1" applyFont="1" applyFill="1" applyBorder="1" applyAlignment="1">
      <alignment horizontal="left"/>
    </xf>
    <xf numFmtId="14" fontId="99" fillId="56" borderId="10" xfId="0" applyNumberFormat="1" applyFont="1" applyFill="1" applyBorder="1" applyAlignment="1">
      <alignment horizontal="left"/>
    </xf>
    <xf numFmtId="22" fontId="0" fillId="0" borderId="0" xfId="0" applyNumberFormat="1"/>
    <xf numFmtId="14" fontId="0" fillId="0" borderId="0" xfId="0" applyNumberFormat="1"/>
    <xf numFmtId="0" fontId="100" fillId="0" borderId="10" xfId="0" applyFont="1" applyBorder="1"/>
    <xf numFmtId="14" fontId="99" fillId="56" borderId="0" xfId="0" applyNumberFormat="1" applyFont="1" applyFill="1" applyBorder="1" applyAlignment="1">
      <alignment horizontal="left"/>
    </xf>
    <xf numFmtId="0" fontId="95" fillId="0" borderId="24" xfId="0" applyFont="1" applyFill="1" applyBorder="1" applyAlignment="1">
      <alignment horizontal="left"/>
    </xf>
    <xf numFmtId="0" fontId="99" fillId="0" borderId="25" xfId="0" applyFont="1" applyBorder="1" applyAlignment="1">
      <alignment horizontal="center"/>
    </xf>
    <xf numFmtId="0" fontId="99" fillId="0" borderId="25" xfId="0" applyFont="1" applyBorder="1"/>
    <xf numFmtId="14" fontId="0" fillId="0" borderId="10" xfId="0" applyNumberForma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0" xfId="0" applyBorder="1"/>
    <xf numFmtId="0" fontId="50" fillId="0" borderId="10" xfId="0" applyFont="1" applyBorder="1"/>
    <xf numFmtId="0" fontId="101" fillId="0" borderId="10" xfId="0" applyFont="1" applyBorder="1"/>
    <xf numFmtId="0" fontId="99" fillId="0" borderId="23" xfId="0" applyFont="1" applyBorder="1"/>
    <xf numFmtId="0" fontId="87" fillId="0" borderId="0" xfId="0" applyFont="1" applyBorder="1"/>
    <xf numFmtId="0" fontId="99" fillId="0" borderId="26" xfId="0" applyFont="1" applyBorder="1"/>
    <xf numFmtId="0" fontId="87" fillId="0" borderId="27" xfId="0" applyFont="1" applyBorder="1"/>
    <xf numFmtId="0" fontId="87" fillId="0" borderId="28" xfId="0" applyFont="1" applyBorder="1"/>
    <xf numFmtId="0" fontId="87" fillId="0" borderId="28" xfId="0" applyFont="1" applyBorder="1" applyAlignment="1">
      <alignment horizontal="center"/>
    </xf>
    <xf numFmtId="0" fontId="87" fillId="0" borderId="29" xfId="0" applyFont="1" applyFill="1" applyBorder="1"/>
    <xf numFmtId="0" fontId="99" fillId="0" borderId="31" xfId="0" applyFont="1" applyBorder="1" applyAlignment="1">
      <alignment horizontal="center"/>
    </xf>
    <xf numFmtId="0" fontId="99" fillId="0" borderId="31" xfId="0" applyFont="1" applyBorder="1"/>
    <xf numFmtId="0" fontId="99" fillId="0" borderId="32" xfId="0" applyFont="1" applyBorder="1"/>
    <xf numFmtId="14" fontId="99" fillId="0" borderId="33" xfId="0" applyNumberFormat="1" applyFont="1" applyBorder="1" applyAlignment="1">
      <alignment horizontal="left"/>
    </xf>
    <xf numFmtId="0" fontId="99" fillId="0" borderId="34" xfId="0" applyFont="1" applyBorder="1"/>
    <xf numFmtId="0" fontId="99" fillId="0" borderId="26" xfId="0" applyFont="1" applyBorder="1" applyAlignment="1">
      <alignment horizontal="center"/>
    </xf>
    <xf numFmtId="14" fontId="99" fillId="0" borderId="30" xfId="0" applyNumberFormat="1" applyFont="1" applyBorder="1" applyAlignment="1">
      <alignment horizontal="left"/>
    </xf>
    <xf numFmtId="14" fontId="88" fillId="55" borderId="26" xfId="106" applyNumberFormat="1" applyFont="1" applyFill="1" applyBorder="1" applyAlignment="1">
      <alignment horizontal="center" vertical="center"/>
    </xf>
    <xf numFmtId="0" fontId="88" fillId="55" borderId="26" xfId="106" applyFont="1" applyFill="1" applyBorder="1" applyAlignment="1">
      <alignment horizontal="center" vertical="center" wrapText="1"/>
    </xf>
    <xf numFmtId="0" fontId="91" fillId="55" borderId="26" xfId="0" applyFont="1" applyFill="1" applyBorder="1" applyAlignment="1">
      <alignment horizontal="center"/>
    </xf>
    <xf numFmtId="0" fontId="90" fillId="0" borderId="26" xfId="0" applyFont="1" applyFill="1" applyBorder="1" applyAlignment="1">
      <alignment horizontal="center"/>
    </xf>
    <xf numFmtId="0" fontId="90" fillId="0" borderId="26" xfId="106" applyFont="1" applyFill="1" applyBorder="1" applyAlignment="1">
      <alignment horizontal="center" vertical="center"/>
    </xf>
    <xf numFmtId="0" fontId="92" fillId="0" borderId="26" xfId="0" applyFont="1" applyBorder="1" applyAlignment="1">
      <alignment horizontal="left"/>
    </xf>
    <xf numFmtId="0" fontId="90" fillId="56" borderId="26" xfId="106" applyFont="1" applyFill="1" applyBorder="1" applyAlignment="1">
      <alignment horizontal="center" vertical="center"/>
    </xf>
    <xf numFmtId="0" fontId="90" fillId="0" borderId="26" xfId="0" applyNumberFormat="1" applyFont="1" applyFill="1" applyBorder="1" applyAlignment="1">
      <alignment horizontal="center"/>
    </xf>
    <xf numFmtId="0" fontId="90" fillId="0" borderId="26" xfId="0" applyFont="1" applyBorder="1"/>
    <xf numFmtId="0" fontId="90" fillId="60" borderId="26" xfId="0" applyFont="1" applyFill="1" applyBorder="1"/>
    <xf numFmtId="0" fontId="91" fillId="60" borderId="26" xfId="0" applyNumberFormat="1" applyFont="1" applyFill="1" applyBorder="1" applyAlignment="1">
      <alignment horizontal="center"/>
    </xf>
    <xf numFmtId="0" fontId="91" fillId="60" borderId="26" xfId="106" applyFont="1" applyFill="1" applyBorder="1" applyAlignment="1">
      <alignment horizontal="center" vertical="center"/>
    </xf>
    <xf numFmtId="0" fontId="88" fillId="55" borderId="26" xfId="0" applyFont="1" applyFill="1" applyBorder="1" applyAlignment="1">
      <alignment vertical="center"/>
    </xf>
    <xf numFmtId="0" fontId="88" fillId="55" borderId="26" xfId="106" applyFont="1" applyFill="1" applyBorder="1" applyAlignment="1">
      <alignment horizontal="left" vertical="center"/>
    </xf>
    <xf numFmtId="14" fontId="88" fillId="55" borderId="36" xfId="106" applyNumberFormat="1" applyFont="1" applyFill="1" applyBorder="1" applyAlignment="1">
      <alignment horizontal="center" vertical="center"/>
    </xf>
    <xf numFmtId="0" fontId="89" fillId="55" borderId="36" xfId="0" applyFont="1" applyFill="1" applyBorder="1"/>
    <xf numFmtId="0" fontId="89" fillId="55" borderId="37" xfId="0" applyFont="1" applyFill="1" applyBorder="1"/>
    <xf numFmtId="0" fontId="89" fillId="55" borderId="34" xfId="106" applyFont="1" applyFill="1" applyBorder="1" applyAlignment="1">
      <alignment horizontal="center" vertical="center"/>
    </xf>
    <xf numFmtId="0" fontId="90" fillId="0" borderId="33" xfId="106" applyNumberFormat="1" applyFont="1" applyFill="1" applyBorder="1" applyAlignment="1">
      <alignment horizontal="center" vertical="center"/>
    </xf>
    <xf numFmtId="0" fontId="90" fillId="56" borderId="34" xfId="106" applyFont="1" applyFill="1" applyBorder="1" applyAlignment="1">
      <alignment horizontal="center" vertical="center"/>
    </xf>
    <xf numFmtId="0" fontId="90" fillId="0" borderId="33" xfId="0" applyNumberFormat="1" applyFont="1" applyFill="1" applyBorder="1" applyAlignment="1">
      <alignment horizontal="center"/>
    </xf>
    <xf numFmtId="0" fontId="90" fillId="60" borderId="33" xfId="0" applyFont="1" applyFill="1" applyBorder="1"/>
    <xf numFmtId="0" fontId="93" fillId="60" borderId="34" xfId="106" applyFont="1" applyFill="1" applyBorder="1" applyAlignment="1">
      <alignment vertical="center"/>
    </xf>
    <xf numFmtId="0" fontId="93" fillId="55" borderId="34" xfId="106" applyFont="1" applyFill="1" applyBorder="1" applyAlignment="1">
      <alignment vertical="center"/>
    </xf>
    <xf numFmtId="0" fontId="91" fillId="56" borderId="34" xfId="106" applyFont="1" applyFill="1" applyBorder="1" applyAlignment="1">
      <alignment vertical="center"/>
    </xf>
    <xf numFmtId="0" fontId="88" fillId="55" borderId="33" xfId="0" applyFont="1" applyFill="1" applyBorder="1" applyAlignment="1">
      <alignment vertical="center"/>
    </xf>
    <xf numFmtId="0" fontId="89" fillId="55" borderId="34" xfId="0" applyFont="1" applyFill="1" applyBorder="1"/>
    <xf numFmtId="0" fontId="88" fillId="55" borderId="33" xfId="106" applyFont="1" applyFill="1" applyBorder="1" applyAlignment="1">
      <alignment horizontal="left" vertical="center"/>
    </xf>
    <xf numFmtId="0" fontId="91" fillId="55" borderId="34" xfId="0" applyFont="1" applyFill="1" applyBorder="1" applyAlignment="1">
      <alignment horizontal="left"/>
    </xf>
    <xf numFmtId="0" fontId="91" fillId="60" borderId="26" xfId="0" applyFont="1" applyFill="1" applyBorder="1" applyAlignment="1">
      <alignment horizontal="center" vertical="center"/>
    </xf>
    <xf numFmtId="0" fontId="88" fillId="55" borderId="36" xfId="106" applyFont="1" applyFill="1" applyBorder="1" applyAlignment="1">
      <alignment horizontal="center" vertical="center"/>
    </xf>
    <xf numFmtId="0" fontId="88" fillId="55" borderId="33" xfId="106" applyFont="1" applyFill="1" applyBorder="1" applyAlignment="1">
      <alignment horizontal="center" vertical="center"/>
    </xf>
    <xf numFmtId="0" fontId="88" fillId="55" borderId="26" xfId="106" applyFont="1" applyFill="1" applyBorder="1" applyAlignment="1">
      <alignment horizontal="center" vertical="center"/>
    </xf>
    <xf numFmtId="0" fontId="91" fillId="60" borderId="33" xfId="0" applyFont="1" applyFill="1" applyBorder="1" applyAlignment="1">
      <alignment horizontal="center" vertical="center"/>
    </xf>
    <xf numFmtId="0" fontId="91" fillId="60" borderId="26" xfId="0" applyFont="1" applyFill="1" applyBorder="1" applyAlignment="1">
      <alignment horizontal="center" vertical="center"/>
    </xf>
    <xf numFmtId="0" fontId="88" fillId="55" borderId="35" xfId="106" applyFont="1" applyFill="1" applyBorder="1" applyAlignment="1">
      <alignment horizontal="center" vertical="center"/>
    </xf>
    <xf numFmtId="0" fontId="88" fillId="55" borderId="36" xfId="106" applyFont="1" applyFill="1" applyBorder="1" applyAlignment="1">
      <alignment horizontal="center" vertical="center"/>
    </xf>
    <xf numFmtId="0" fontId="88" fillId="55" borderId="33" xfId="106" applyFont="1" applyFill="1" applyBorder="1" applyAlignment="1">
      <alignment horizontal="center" vertical="center"/>
    </xf>
    <xf numFmtId="0" fontId="88" fillId="55" borderId="26" xfId="106" applyFont="1" applyFill="1" applyBorder="1" applyAlignment="1">
      <alignment horizontal="center" vertical="center"/>
    </xf>
    <xf numFmtId="0" fontId="91" fillId="59" borderId="33" xfId="0" applyFont="1" applyFill="1" applyBorder="1" applyAlignment="1">
      <alignment horizontal="center" vertical="center"/>
    </xf>
    <xf numFmtId="0" fontId="91" fillId="59" borderId="26" xfId="0" applyFont="1" applyFill="1" applyBorder="1" applyAlignment="1">
      <alignment horizontal="center" vertical="center"/>
    </xf>
    <xf numFmtId="0" fontId="91" fillId="57" borderId="33" xfId="0" applyFont="1" applyFill="1" applyBorder="1" applyAlignment="1">
      <alignment horizontal="center" vertical="center"/>
    </xf>
    <xf numFmtId="0" fontId="91" fillId="57" borderId="26" xfId="0" applyFont="1" applyFill="1" applyBorder="1" applyAlignment="1">
      <alignment horizontal="center" vertical="center"/>
    </xf>
    <xf numFmtId="0" fontId="91" fillId="58" borderId="33" xfId="0" applyFont="1" applyFill="1" applyBorder="1" applyAlignment="1">
      <alignment horizontal="center" vertical="center" wrapText="1"/>
    </xf>
    <xf numFmtId="0" fontId="91" fillId="58" borderId="26" xfId="0" applyFont="1" applyFill="1" applyBorder="1" applyAlignment="1">
      <alignment horizontal="center" vertical="center" wrapText="1"/>
    </xf>
  </cellXfs>
  <cellStyles count="1827">
    <cellStyle name="20% - Accent1" xfId="1" builtinId="30" customBuiltin="1"/>
    <cellStyle name="20% - Accent1 10" xfId="185"/>
    <cellStyle name="20% - Accent1 10 2" xfId="504"/>
    <cellStyle name="20% - Accent1 10 2 2" xfId="1311"/>
    <cellStyle name="20% - Accent1 10 3" xfId="1006"/>
    <cellStyle name="20% - Accent1 11" xfId="199"/>
    <cellStyle name="20% - Accent1 11 2" xfId="518"/>
    <cellStyle name="20% - Accent1 11 2 2" xfId="1325"/>
    <cellStyle name="20% - Accent1 11 3" xfId="1020"/>
    <cellStyle name="20% - Accent1 12" xfId="213"/>
    <cellStyle name="20% - Accent1 12 2" xfId="532"/>
    <cellStyle name="20% - Accent1 12 2 2" xfId="1339"/>
    <cellStyle name="20% - Accent1 12 3" xfId="1034"/>
    <cellStyle name="20% - Accent1 13" xfId="227"/>
    <cellStyle name="20% - Accent1 13 2" xfId="547"/>
    <cellStyle name="20% - Accent1 13 2 2" xfId="1353"/>
    <cellStyle name="20% - Accent1 13 3" xfId="1048"/>
    <cellStyle name="20% - Accent1 14" xfId="241"/>
    <cellStyle name="20% - Accent1 14 2" xfId="561"/>
    <cellStyle name="20% - Accent1 14 2 2" xfId="1367"/>
    <cellStyle name="20% - Accent1 14 3" xfId="1062"/>
    <cellStyle name="20% - Accent1 15" xfId="255"/>
    <cellStyle name="20% - Accent1 15 2" xfId="575"/>
    <cellStyle name="20% - Accent1 15 2 2" xfId="1381"/>
    <cellStyle name="20% - Accent1 15 3" xfId="1076"/>
    <cellStyle name="20% - Accent1 16" xfId="269"/>
    <cellStyle name="20% - Accent1 16 2" xfId="589"/>
    <cellStyle name="20% - Accent1 16 2 2" xfId="1395"/>
    <cellStyle name="20% - Accent1 16 3" xfId="1090"/>
    <cellStyle name="20% - Accent1 17" xfId="283"/>
    <cellStyle name="20% - Accent1 17 2" xfId="603"/>
    <cellStyle name="20% - Accent1 17 2 2" xfId="1409"/>
    <cellStyle name="20% - Accent1 17 3" xfId="1104"/>
    <cellStyle name="20% - Accent1 18" xfId="297"/>
    <cellStyle name="20% - Accent1 18 2" xfId="617"/>
    <cellStyle name="20% - Accent1 18 2 2" xfId="1423"/>
    <cellStyle name="20% - Accent1 18 3" xfId="1118"/>
    <cellStyle name="20% - Accent1 19" xfId="311"/>
    <cellStyle name="20% - Accent1 19 2" xfId="631"/>
    <cellStyle name="20% - Accent1 19 2 2" xfId="1437"/>
    <cellStyle name="20% - Accent1 19 3" xfId="1132"/>
    <cellStyle name="20% - Accent1 2" xfId="2"/>
    <cellStyle name="20% - Accent1 2 2" xfId="380"/>
    <cellStyle name="20% - Accent1 2 2 2" xfId="1200"/>
    <cellStyle name="20% - Accent1 2 3" xfId="882"/>
    <cellStyle name="20% - Accent1 20" xfId="325"/>
    <cellStyle name="20% - Accent1 20 2" xfId="645"/>
    <cellStyle name="20% - Accent1 20 2 2" xfId="1451"/>
    <cellStyle name="20% - Accent1 20 3" xfId="1146"/>
    <cellStyle name="20% - Accent1 21" xfId="339"/>
    <cellStyle name="20% - Accent1 21 2" xfId="659"/>
    <cellStyle name="20% - Accent1 21 2 2" xfId="1465"/>
    <cellStyle name="20% - Accent1 21 3" xfId="1160"/>
    <cellStyle name="20% - Accent1 22" xfId="353"/>
    <cellStyle name="20% - Accent1 22 2" xfId="1174"/>
    <cellStyle name="20% - Accent1 23" xfId="367"/>
    <cellStyle name="20% - Accent1 23 2" xfId="1188"/>
    <cellStyle name="20% - Accent1 24" xfId="379"/>
    <cellStyle name="20% - Accent1 25" xfId="673"/>
    <cellStyle name="20% - Accent1 25 2" xfId="1479"/>
    <cellStyle name="20% - Accent1 26" xfId="687"/>
    <cellStyle name="20% - Accent1 26 2" xfId="1493"/>
    <cellStyle name="20% - Accent1 27" xfId="701"/>
    <cellStyle name="20% - Accent1 27 2" xfId="1507"/>
    <cellStyle name="20% - Accent1 28" xfId="715"/>
    <cellStyle name="20% - Accent1 28 2" xfId="1521"/>
    <cellStyle name="20% - Accent1 29" xfId="729"/>
    <cellStyle name="20% - Accent1 29 2" xfId="1535"/>
    <cellStyle name="20% - Accent1 3" xfId="3"/>
    <cellStyle name="20% - Accent1 3 2" xfId="381"/>
    <cellStyle name="20% - Accent1 3 2 2" xfId="1201"/>
    <cellStyle name="20% - Accent1 3 3" xfId="890"/>
    <cellStyle name="20% - Accent1 30" xfId="743"/>
    <cellStyle name="20% - Accent1 30 2" xfId="1549"/>
    <cellStyle name="20% - Accent1 31" xfId="757"/>
    <cellStyle name="20% - Accent1 31 2" xfId="1563"/>
    <cellStyle name="20% - Accent1 32" xfId="771"/>
    <cellStyle name="20% - Accent1 32 2" xfId="1577"/>
    <cellStyle name="20% - Accent1 33" xfId="785"/>
    <cellStyle name="20% - Accent1 33 2" xfId="1591"/>
    <cellStyle name="20% - Accent1 34" xfId="799"/>
    <cellStyle name="20% - Accent1 34 2" xfId="1605"/>
    <cellStyle name="20% - Accent1 35" xfId="813"/>
    <cellStyle name="20% - Accent1 35 2" xfId="1619"/>
    <cellStyle name="20% - Accent1 36" xfId="827"/>
    <cellStyle name="20% - Accent1 36 2" xfId="1633"/>
    <cellStyle name="20% - Accent1 37" xfId="840"/>
    <cellStyle name="20% - Accent1 37 2" xfId="1646"/>
    <cellStyle name="20% - Accent1 38" xfId="855"/>
    <cellStyle name="20% - Accent1 38 2" xfId="1661"/>
    <cellStyle name="20% - Accent1 39" xfId="869"/>
    <cellStyle name="20% - Accent1 39 2" xfId="1675"/>
    <cellStyle name="20% - Accent1 4" xfId="4"/>
    <cellStyle name="20% - Accent1 4 2" xfId="382"/>
    <cellStyle name="20% - Accent1 4 2 2" xfId="1202"/>
    <cellStyle name="20% - Accent1 4 3" xfId="888"/>
    <cellStyle name="20% - Accent1 40" xfId="894"/>
    <cellStyle name="20% - Accent1 41" xfId="1689"/>
    <cellStyle name="20% - Accent1 42" xfId="1703"/>
    <cellStyle name="20% - Accent1 43" xfId="1717"/>
    <cellStyle name="20% - Accent1 44" xfId="1731"/>
    <cellStyle name="20% - Accent1 45" xfId="1744"/>
    <cellStyle name="20% - Accent1 46" xfId="1759"/>
    <cellStyle name="20% - Accent1 47" xfId="1773"/>
    <cellStyle name="20% - Accent1 48" xfId="1787"/>
    <cellStyle name="20% - Accent1 49" xfId="1801"/>
    <cellStyle name="20% - Accent1 5" xfId="115"/>
    <cellStyle name="20% - Accent1 5 2" xfId="434"/>
    <cellStyle name="20% - Accent1 5 2 2" xfId="1241"/>
    <cellStyle name="20% - Accent1 5 3" xfId="936"/>
    <cellStyle name="20% - Accent1 50" xfId="1815"/>
    <cellStyle name="20% - Accent1 6" xfId="129"/>
    <cellStyle name="20% - Accent1 6 2" xfId="448"/>
    <cellStyle name="20% - Accent1 6 2 2" xfId="1255"/>
    <cellStyle name="20% - Accent1 6 3" xfId="950"/>
    <cellStyle name="20% - Accent1 7" xfId="143"/>
    <cellStyle name="20% - Accent1 7 2" xfId="462"/>
    <cellStyle name="20% - Accent1 7 2 2" xfId="1269"/>
    <cellStyle name="20% - Accent1 7 3" xfId="964"/>
    <cellStyle name="20% - Accent1 8" xfId="157"/>
    <cellStyle name="20% - Accent1 8 2" xfId="476"/>
    <cellStyle name="20% - Accent1 8 2 2" xfId="1283"/>
    <cellStyle name="20% - Accent1 8 3" xfId="978"/>
    <cellStyle name="20% - Accent1 9" xfId="171"/>
    <cellStyle name="20% - Accent1 9 2" xfId="490"/>
    <cellStyle name="20% - Accent1 9 2 2" xfId="1297"/>
    <cellStyle name="20% - Accent1 9 3" xfId="992"/>
    <cellStyle name="20% - Accent2" xfId="5" builtinId="34" customBuiltin="1"/>
    <cellStyle name="20% - Accent2 10" xfId="187"/>
    <cellStyle name="20% - Accent2 10 2" xfId="506"/>
    <cellStyle name="20% - Accent2 10 2 2" xfId="1313"/>
    <cellStyle name="20% - Accent2 10 3" xfId="1008"/>
    <cellStyle name="20% - Accent2 11" xfId="201"/>
    <cellStyle name="20% - Accent2 11 2" xfId="520"/>
    <cellStyle name="20% - Accent2 11 2 2" xfId="1327"/>
    <cellStyle name="20% - Accent2 11 3" xfId="1022"/>
    <cellStyle name="20% - Accent2 12" xfId="215"/>
    <cellStyle name="20% - Accent2 12 2" xfId="534"/>
    <cellStyle name="20% - Accent2 12 2 2" xfId="1341"/>
    <cellStyle name="20% - Accent2 12 3" xfId="1036"/>
    <cellStyle name="20% - Accent2 13" xfId="229"/>
    <cellStyle name="20% - Accent2 13 2" xfId="549"/>
    <cellStyle name="20% - Accent2 13 2 2" xfId="1355"/>
    <cellStyle name="20% - Accent2 13 3" xfId="1050"/>
    <cellStyle name="20% - Accent2 14" xfId="243"/>
    <cellStyle name="20% - Accent2 14 2" xfId="563"/>
    <cellStyle name="20% - Accent2 14 2 2" xfId="1369"/>
    <cellStyle name="20% - Accent2 14 3" xfId="1064"/>
    <cellStyle name="20% - Accent2 15" xfId="257"/>
    <cellStyle name="20% - Accent2 15 2" xfId="577"/>
    <cellStyle name="20% - Accent2 15 2 2" xfId="1383"/>
    <cellStyle name="20% - Accent2 15 3" xfId="1078"/>
    <cellStyle name="20% - Accent2 16" xfId="271"/>
    <cellStyle name="20% - Accent2 16 2" xfId="591"/>
    <cellStyle name="20% - Accent2 16 2 2" xfId="1397"/>
    <cellStyle name="20% - Accent2 16 3" xfId="1092"/>
    <cellStyle name="20% - Accent2 17" xfId="285"/>
    <cellStyle name="20% - Accent2 17 2" xfId="605"/>
    <cellStyle name="20% - Accent2 17 2 2" xfId="1411"/>
    <cellStyle name="20% - Accent2 17 3" xfId="1106"/>
    <cellStyle name="20% - Accent2 18" xfId="299"/>
    <cellStyle name="20% - Accent2 18 2" xfId="619"/>
    <cellStyle name="20% - Accent2 18 2 2" xfId="1425"/>
    <cellStyle name="20% - Accent2 18 3" xfId="1120"/>
    <cellStyle name="20% - Accent2 19" xfId="313"/>
    <cellStyle name="20% - Accent2 19 2" xfId="633"/>
    <cellStyle name="20% - Accent2 19 2 2" xfId="1439"/>
    <cellStyle name="20% - Accent2 19 3" xfId="1134"/>
    <cellStyle name="20% - Accent2 2" xfId="6"/>
    <cellStyle name="20% - Accent2 2 2" xfId="384"/>
    <cellStyle name="20% - Accent2 2 2 2" xfId="1203"/>
    <cellStyle name="20% - Accent2 2 3" xfId="889"/>
    <cellStyle name="20% - Accent2 20" xfId="327"/>
    <cellStyle name="20% - Accent2 20 2" xfId="647"/>
    <cellStyle name="20% - Accent2 20 2 2" xfId="1453"/>
    <cellStyle name="20% - Accent2 20 3" xfId="1148"/>
    <cellStyle name="20% - Accent2 21" xfId="341"/>
    <cellStyle name="20% - Accent2 21 2" xfId="661"/>
    <cellStyle name="20% - Accent2 21 2 2" xfId="1467"/>
    <cellStyle name="20% - Accent2 21 3" xfId="1162"/>
    <cellStyle name="20% - Accent2 22" xfId="355"/>
    <cellStyle name="20% - Accent2 22 2" xfId="1176"/>
    <cellStyle name="20% - Accent2 23" xfId="369"/>
    <cellStyle name="20% - Accent2 23 2" xfId="1190"/>
    <cellStyle name="20% - Accent2 24" xfId="383"/>
    <cellStyle name="20% - Accent2 25" xfId="675"/>
    <cellStyle name="20% - Accent2 25 2" xfId="1481"/>
    <cellStyle name="20% - Accent2 26" xfId="689"/>
    <cellStyle name="20% - Accent2 26 2" xfId="1495"/>
    <cellStyle name="20% - Accent2 27" xfId="703"/>
    <cellStyle name="20% - Accent2 27 2" xfId="1509"/>
    <cellStyle name="20% - Accent2 28" xfId="717"/>
    <cellStyle name="20% - Accent2 28 2" xfId="1523"/>
    <cellStyle name="20% - Accent2 29" xfId="731"/>
    <cellStyle name="20% - Accent2 29 2" xfId="1537"/>
    <cellStyle name="20% - Accent2 3" xfId="7"/>
    <cellStyle name="20% - Accent2 3 2" xfId="385"/>
    <cellStyle name="20% - Accent2 3 2 2" xfId="1204"/>
    <cellStyle name="20% - Accent2 3 3" xfId="885"/>
    <cellStyle name="20% - Accent2 30" xfId="745"/>
    <cellStyle name="20% - Accent2 30 2" xfId="1551"/>
    <cellStyle name="20% - Accent2 31" xfId="759"/>
    <cellStyle name="20% - Accent2 31 2" xfId="1565"/>
    <cellStyle name="20% - Accent2 32" xfId="773"/>
    <cellStyle name="20% - Accent2 32 2" xfId="1579"/>
    <cellStyle name="20% - Accent2 33" xfId="787"/>
    <cellStyle name="20% - Accent2 33 2" xfId="1593"/>
    <cellStyle name="20% - Accent2 34" xfId="801"/>
    <cellStyle name="20% - Accent2 34 2" xfId="1607"/>
    <cellStyle name="20% - Accent2 35" xfId="815"/>
    <cellStyle name="20% - Accent2 35 2" xfId="1621"/>
    <cellStyle name="20% - Accent2 36" xfId="829"/>
    <cellStyle name="20% - Accent2 36 2" xfId="1635"/>
    <cellStyle name="20% - Accent2 37" xfId="841"/>
    <cellStyle name="20% - Accent2 37 2" xfId="1647"/>
    <cellStyle name="20% - Accent2 38" xfId="857"/>
    <cellStyle name="20% - Accent2 38 2" xfId="1663"/>
    <cellStyle name="20% - Accent2 39" xfId="871"/>
    <cellStyle name="20% - Accent2 39 2" xfId="1677"/>
    <cellStyle name="20% - Accent2 4" xfId="8"/>
    <cellStyle name="20% - Accent2 4 2" xfId="386"/>
    <cellStyle name="20% - Accent2 4 2 2" xfId="1205"/>
    <cellStyle name="20% - Accent2 4 3" xfId="884"/>
    <cellStyle name="20% - Accent2 40" xfId="898"/>
    <cellStyle name="20% - Accent2 41" xfId="1691"/>
    <cellStyle name="20% - Accent2 42" xfId="1705"/>
    <cellStyle name="20% - Accent2 43" xfId="1719"/>
    <cellStyle name="20% - Accent2 44" xfId="1733"/>
    <cellStyle name="20% - Accent2 45" xfId="1745"/>
    <cellStyle name="20% - Accent2 46" xfId="1761"/>
    <cellStyle name="20% - Accent2 47" xfId="1775"/>
    <cellStyle name="20% - Accent2 48" xfId="1789"/>
    <cellStyle name="20% - Accent2 49" xfId="1803"/>
    <cellStyle name="20% - Accent2 5" xfId="117"/>
    <cellStyle name="20% - Accent2 5 2" xfId="436"/>
    <cellStyle name="20% - Accent2 5 2 2" xfId="1243"/>
    <cellStyle name="20% - Accent2 5 3" xfId="938"/>
    <cellStyle name="20% - Accent2 50" xfId="1817"/>
    <cellStyle name="20% - Accent2 6" xfId="131"/>
    <cellStyle name="20% - Accent2 6 2" xfId="450"/>
    <cellStyle name="20% - Accent2 6 2 2" xfId="1257"/>
    <cellStyle name="20% - Accent2 6 3" xfId="952"/>
    <cellStyle name="20% - Accent2 7" xfId="145"/>
    <cellStyle name="20% - Accent2 7 2" xfId="464"/>
    <cellStyle name="20% - Accent2 7 2 2" xfId="1271"/>
    <cellStyle name="20% - Accent2 7 3" xfId="966"/>
    <cellStyle name="20% - Accent2 8" xfId="159"/>
    <cellStyle name="20% - Accent2 8 2" xfId="478"/>
    <cellStyle name="20% - Accent2 8 2 2" xfId="1285"/>
    <cellStyle name="20% - Accent2 8 3" xfId="980"/>
    <cellStyle name="20% - Accent2 9" xfId="173"/>
    <cellStyle name="20% - Accent2 9 2" xfId="492"/>
    <cellStyle name="20% - Accent2 9 2 2" xfId="1299"/>
    <cellStyle name="20% - Accent2 9 3" xfId="994"/>
    <cellStyle name="20% - Accent3" xfId="9" builtinId="38" customBuiltin="1"/>
    <cellStyle name="20% - Accent3 10" xfId="189"/>
    <cellStyle name="20% - Accent3 10 2" xfId="508"/>
    <cellStyle name="20% - Accent3 10 2 2" xfId="1315"/>
    <cellStyle name="20% - Accent3 10 3" xfId="1010"/>
    <cellStyle name="20% - Accent3 11" xfId="203"/>
    <cellStyle name="20% - Accent3 11 2" xfId="522"/>
    <cellStyle name="20% - Accent3 11 2 2" xfId="1329"/>
    <cellStyle name="20% - Accent3 11 3" xfId="1024"/>
    <cellStyle name="20% - Accent3 12" xfId="217"/>
    <cellStyle name="20% - Accent3 12 2" xfId="536"/>
    <cellStyle name="20% - Accent3 12 2 2" xfId="1343"/>
    <cellStyle name="20% - Accent3 12 3" xfId="1038"/>
    <cellStyle name="20% - Accent3 13" xfId="231"/>
    <cellStyle name="20% - Accent3 13 2" xfId="551"/>
    <cellStyle name="20% - Accent3 13 2 2" xfId="1357"/>
    <cellStyle name="20% - Accent3 13 3" xfId="1052"/>
    <cellStyle name="20% - Accent3 14" xfId="245"/>
    <cellStyle name="20% - Accent3 14 2" xfId="565"/>
    <cellStyle name="20% - Accent3 14 2 2" xfId="1371"/>
    <cellStyle name="20% - Accent3 14 3" xfId="1066"/>
    <cellStyle name="20% - Accent3 15" xfId="259"/>
    <cellStyle name="20% - Accent3 15 2" xfId="579"/>
    <cellStyle name="20% - Accent3 15 2 2" xfId="1385"/>
    <cellStyle name="20% - Accent3 15 3" xfId="1080"/>
    <cellStyle name="20% - Accent3 16" xfId="273"/>
    <cellStyle name="20% - Accent3 16 2" xfId="593"/>
    <cellStyle name="20% - Accent3 16 2 2" xfId="1399"/>
    <cellStyle name="20% - Accent3 16 3" xfId="1094"/>
    <cellStyle name="20% - Accent3 17" xfId="287"/>
    <cellStyle name="20% - Accent3 17 2" xfId="607"/>
    <cellStyle name="20% - Accent3 17 2 2" xfId="1413"/>
    <cellStyle name="20% - Accent3 17 3" xfId="1108"/>
    <cellStyle name="20% - Accent3 18" xfId="301"/>
    <cellStyle name="20% - Accent3 18 2" xfId="621"/>
    <cellStyle name="20% - Accent3 18 2 2" xfId="1427"/>
    <cellStyle name="20% - Accent3 18 3" xfId="1122"/>
    <cellStyle name="20% - Accent3 19" xfId="315"/>
    <cellStyle name="20% - Accent3 19 2" xfId="635"/>
    <cellStyle name="20% - Accent3 19 2 2" xfId="1441"/>
    <cellStyle name="20% - Accent3 19 3" xfId="1136"/>
    <cellStyle name="20% - Accent3 2" xfId="10"/>
    <cellStyle name="20% - Accent3 2 2" xfId="388"/>
    <cellStyle name="20% - Accent3 2 2 2" xfId="1206"/>
    <cellStyle name="20% - Accent3 2 3" xfId="883"/>
    <cellStyle name="20% - Accent3 20" xfId="329"/>
    <cellStyle name="20% - Accent3 20 2" xfId="649"/>
    <cellStyle name="20% - Accent3 20 2 2" xfId="1455"/>
    <cellStyle name="20% - Accent3 20 3" xfId="1150"/>
    <cellStyle name="20% - Accent3 21" xfId="343"/>
    <cellStyle name="20% - Accent3 21 2" xfId="663"/>
    <cellStyle name="20% - Accent3 21 2 2" xfId="1469"/>
    <cellStyle name="20% - Accent3 21 3" xfId="1164"/>
    <cellStyle name="20% - Accent3 22" xfId="357"/>
    <cellStyle name="20% - Accent3 22 2" xfId="1178"/>
    <cellStyle name="20% - Accent3 23" xfId="371"/>
    <cellStyle name="20% - Accent3 23 2" xfId="1192"/>
    <cellStyle name="20% - Accent3 24" xfId="387"/>
    <cellStyle name="20% - Accent3 25" xfId="677"/>
    <cellStyle name="20% - Accent3 25 2" xfId="1483"/>
    <cellStyle name="20% - Accent3 26" xfId="691"/>
    <cellStyle name="20% - Accent3 26 2" xfId="1497"/>
    <cellStyle name="20% - Accent3 27" xfId="705"/>
    <cellStyle name="20% - Accent3 27 2" xfId="1511"/>
    <cellStyle name="20% - Accent3 28" xfId="719"/>
    <cellStyle name="20% - Accent3 28 2" xfId="1525"/>
    <cellStyle name="20% - Accent3 29" xfId="733"/>
    <cellStyle name="20% - Accent3 29 2" xfId="1539"/>
    <cellStyle name="20% - Accent3 3" xfId="11"/>
    <cellStyle name="20% - Accent3 3 2" xfId="389"/>
    <cellStyle name="20% - Accent3 3 2 2" xfId="1207"/>
    <cellStyle name="20% - Accent3 3 3" xfId="886"/>
    <cellStyle name="20% - Accent3 30" xfId="747"/>
    <cellStyle name="20% - Accent3 30 2" xfId="1553"/>
    <cellStyle name="20% - Accent3 31" xfId="761"/>
    <cellStyle name="20% - Accent3 31 2" xfId="1567"/>
    <cellStyle name="20% - Accent3 32" xfId="775"/>
    <cellStyle name="20% - Accent3 32 2" xfId="1581"/>
    <cellStyle name="20% - Accent3 33" xfId="789"/>
    <cellStyle name="20% - Accent3 33 2" xfId="1595"/>
    <cellStyle name="20% - Accent3 34" xfId="803"/>
    <cellStyle name="20% - Accent3 34 2" xfId="1609"/>
    <cellStyle name="20% - Accent3 35" xfId="817"/>
    <cellStyle name="20% - Accent3 35 2" xfId="1623"/>
    <cellStyle name="20% - Accent3 36" xfId="831"/>
    <cellStyle name="20% - Accent3 36 2" xfId="1637"/>
    <cellStyle name="20% - Accent3 37" xfId="842"/>
    <cellStyle name="20% - Accent3 37 2" xfId="1648"/>
    <cellStyle name="20% - Accent3 38" xfId="859"/>
    <cellStyle name="20% - Accent3 38 2" xfId="1665"/>
    <cellStyle name="20% - Accent3 39" xfId="873"/>
    <cellStyle name="20% - Accent3 39 2" xfId="1679"/>
    <cellStyle name="20% - Accent3 4" xfId="12"/>
    <cellStyle name="20% - Accent3 4 2" xfId="390"/>
    <cellStyle name="20% - Accent3 4 2 2" xfId="1208"/>
    <cellStyle name="20% - Accent3 4 3" xfId="893"/>
    <cellStyle name="20% - Accent3 40" xfId="902"/>
    <cellStyle name="20% - Accent3 41" xfId="1693"/>
    <cellStyle name="20% - Accent3 42" xfId="1707"/>
    <cellStyle name="20% - Accent3 43" xfId="1721"/>
    <cellStyle name="20% - Accent3 44" xfId="1735"/>
    <cellStyle name="20% - Accent3 45" xfId="1746"/>
    <cellStyle name="20% - Accent3 46" xfId="1763"/>
    <cellStyle name="20% - Accent3 47" xfId="1777"/>
    <cellStyle name="20% - Accent3 48" xfId="1791"/>
    <cellStyle name="20% - Accent3 49" xfId="1805"/>
    <cellStyle name="20% - Accent3 5" xfId="119"/>
    <cellStyle name="20% - Accent3 5 2" xfId="438"/>
    <cellStyle name="20% - Accent3 5 2 2" xfId="1245"/>
    <cellStyle name="20% - Accent3 5 3" xfId="940"/>
    <cellStyle name="20% - Accent3 50" xfId="1819"/>
    <cellStyle name="20% - Accent3 6" xfId="133"/>
    <cellStyle name="20% - Accent3 6 2" xfId="452"/>
    <cellStyle name="20% - Accent3 6 2 2" xfId="1259"/>
    <cellStyle name="20% - Accent3 6 3" xfId="954"/>
    <cellStyle name="20% - Accent3 7" xfId="147"/>
    <cellStyle name="20% - Accent3 7 2" xfId="466"/>
    <cellStyle name="20% - Accent3 7 2 2" xfId="1273"/>
    <cellStyle name="20% - Accent3 7 3" xfId="968"/>
    <cellStyle name="20% - Accent3 8" xfId="161"/>
    <cellStyle name="20% - Accent3 8 2" xfId="480"/>
    <cellStyle name="20% - Accent3 8 2 2" xfId="1287"/>
    <cellStyle name="20% - Accent3 8 3" xfId="982"/>
    <cellStyle name="20% - Accent3 9" xfId="175"/>
    <cellStyle name="20% - Accent3 9 2" xfId="494"/>
    <cellStyle name="20% - Accent3 9 2 2" xfId="1301"/>
    <cellStyle name="20% - Accent3 9 3" xfId="996"/>
    <cellStyle name="20% - Accent4" xfId="13" builtinId="42" customBuiltin="1"/>
    <cellStyle name="20% - Accent4 10" xfId="191"/>
    <cellStyle name="20% - Accent4 10 2" xfId="510"/>
    <cellStyle name="20% - Accent4 10 2 2" xfId="1317"/>
    <cellStyle name="20% - Accent4 10 3" xfId="1012"/>
    <cellStyle name="20% - Accent4 11" xfId="205"/>
    <cellStyle name="20% - Accent4 11 2" xfId="524"/>
    <cellStyle name="20% - Accent4 11 2 2" xfId="1331"/>
    <cellStyle name="20% - Accent4 11 3" xfId="1026"/>
    <cellStyle name="20% - Accent4 12" xfId="219"/>
    <cellStyle name="20% - Accent4 12 2" xfId="538"/>
    <cellStyle name="20% - Accent4 12 2 2" xfId="1345"/>
    <cellStyle name="20% - Accent4 12 3" xfId="1040"/>
    <cellStyle name="20% - Accent4 13" xfId="233"/>
    <cellStyle name="20% - Accent4 13 2" xfId="553"/>
    <cellStyle name="20% - Accent4 13 2 2" xfId="1359"/>
    <cellStyle name="20% - Accent4 13 3" xfId="1054"/>
    <cellStyle name="20% - Accent4 14" xfId="247"/>
    <cellStyle name="20% - Accent4 14 2" xfId="567"/>
    <cellStyle name="20% - Accent4 14 2 2" xfId="1373"/>
    <cellStyle name="20% - Accent4 14 3" xfId="1068"/>
    <cellStyle name="20% - Accent4 15" xfId="261"/>
    <cellStyle name="20% - Accent4 15 2" xfId="581"/>
    <cellStyle name="20% - Accent4 15 2 2" xfId="1387"/>
    <cellStyle name="20% - Accent4 15 3" xfId="1082"/>
    <cellStyle name="20% - Accent4 16" xfId="275"/>
    <cellStyle name="20% - Accent4 16 2" xfId="595"/>
    <cellStyle name="20% - Accent4 16 2 2" xfId="1401"/>
    <cellStyle name="20% - Accent4 16 3" xfId="1096"/>
    <cellStyle name="20% - Accent4 17" xfId="289"/>
    <cellStyle name="20% - Accent4 17 2" xfId="609"/>
    <cellStyle name="20% - Accent4 17 2 2" xfId="1415"/>
    <cellStyle name="20% - Accent4 17 3" xfId="1110"/>
    <cellStyle name="20% - Accent4 18" xfId="303"/>
    <cellStyle name="20% - Accent4 18 2" xfId="623"/>
    <cellStyle name="20% - Accent4 18 2 2" xfId="1429"/>
    <cellStyle name="20% - Accent4 18 3" xfId="1124"/>
    <cellStyle name="20% - Accent4 19" xfId="317"/>
    <cellStyle name="20% - Accent4 19 2" xfId="637"/>
    <cellStyle name="20% - Accent4 19 2 2" xfId="1443"/>
    <cellStyle name="20% - Accent4 19 3" xfId="1138"/>
    <cellStyle name="20% - Accent4 2" xfId="14"/>
    <cellStyle name="20% - Accent4 2 2" xfId="392"/>
    <cellStyle name="20% - Accent4 2 2 2" xfId="1209"/>
    <cellStyle name="20% - Accent4 2 3" xfId="891"/>
    <cellStyle name="20% - Accent4 20" xfId="331"/>
    <cellStyle name="20% - Accent4 20 2" xfId="651"/>
    <cellStyle name="20% - Accent4 20 2 2" xfId="1457"/>
    <cellStyle name="20% - Accent4 20 3" xfId="1152"/>
    <cellStyle name="20% - Accent4 21" xfId="345"/>
    <cellStyle name="20% - Accent4 21 2" xfId="665"/>
    <cellStyle name="20% - Accent4 21 2 2" xfId="1471"/>
    <cellStyle name="20% - Accent4 21 3" xfId="1166"/>
    <cellStyle name="20% - Accent4 22" xfId="359"/>
    <cellStyle name="20% - Accent4 22 2" xfId="1180"/>
    <cellStyle name="20% - Accent4 23" xfId="373"/>
    <cellStyle name="20% - Accent4 23 2" xfId="1194"/>
    <cellStyle name="20% - Accent4 24" xfId="391"/>
    <cellStyle name="20% - Accent4 25" xfId="679"/>
    <cellStyle name="20% - Accent4 25 2" xfId="1485"/>
    <cellStyle name="20% - Accent4 26" xfId="693"/>
    <cellStyle name="20% - Accent4 26 2" xfId="1499"/>
    <cellStyle name="20% - Accent4 27" xfId="707"/>
    <cellStyle name="20% - Accent4 27 2" xfId="1513"/>
    <cellStyle name="20% - Accent4 28" xfId="721"/>
    <cellStyle name="20% - Accent4 28 2" xfId="1527"/>
    <cellStyle name="20% - Accent4 29" xfId="735"/>
    <cellStyle name="20% - Accent4 29 2" xfId="1541"/>
    <cellStyle name="20% - Accent4 3" xfId="15"/>
    <cellStyle name="20% - Accent4 3 2" xfId="393"/>
    <cellStyle name="20% - Accent4 3 2 2" xfId="1210"/>
    <cellStyle name="20% - Accent4 3 3" xfId="887"/>
    <cellStyle name="20% - Accent4 30" xfId="749"/>
    <cellStyle name="20% - Accent4 30 2" xfId="1555"/>
    <cellStyle name="20% - Accent4 31" xfId="763"/>
    <cellStyle name="20% - Accent4 31 2" xfId="1569"/>
    <cellStyle name="20% - Accent4 32" xfId="777"/>
    <cellStyle name="20% - Accent4 32 2" xfId="1583"/>
    <cellStyle name="20% - Accent4 33" xfId="791"/>
    <cellStyle name="20% - Accent4 33 2" xfId="1597"/>
    <cellStyle name="20% - Accent4 34" xfId="805"/>
    <cellStyle name="20% - Accent4 34 2" xfId="1611"/>
    <cellStyle name="20% - Accent4 35" xfId="819"/>
    <cellStyle name="20% - Accent4 35 2" xfId="1625"/>
    <cellStyle name="20% - Accent4 36" xfId="833"/>
    <cellStyle name="20% - Accent4 36 2" xfId="1639"/>
    <cellStyle name="20% - Accent4 37" xfId="843"/>
    <cellStyle name="20% - Accent4 37 2" xfId="1649"/>
    <cellStyle name="20% - Accent4 38" xfId="861"/>
    <cellStyle name="20% - Accent4 38 2" xfId="1667"/>
    <cellStyle name="20% - Accent4 39" xfId="875"/>
    <cellStyle name="20% - Accent4 39 2" xfId="1681"/>
    <cellStyle name="20% - Accent4 4" xfId="16"/>
    <cellStyle name="20% - Accent4 4 2" xfId="394"/>
    <cellStyle name="20% - Accent4 4 2 2" xfId="1211"/>
    <cellStyle name="20% - Accent4 4 3" xfId="911"/>
    <cellStyle name="20% - Accent4 40" xfId="905"/>
    <cellStyle name="20% - Accent4 41" xfId="1695"/>
    <cellStyle name="20% - Accent4 42" xfId="1709"/>
    <cellStyle name="20% - Accent4 43" xfId="1723"/>
    <cellStyle name="20% - Accent4 44" xfId="1737"/>
    <cellStyle name="20% - Accent4 45" xfId="1747"/>
    <cellStyle name="20% - Accent4 46" xfId="1765"/>
    <cellStyle name="20% - Accent4 47" xfId="1779"/>
    <cellStyle name="20% - Accent4 48" xfId="1793"/>
    <cellStyle name="20% - Accent4 49" xfId="1807"/>
    <cellStyle name="20% - Accent4 5" xfId="121"/>
    <cellStyle name="20% - Accent4 5 2" xfId="440"/>
    <cellStyle name="20% - Accent4 5 2 2" xfId="1247"/>
    <cellStyle name="20% - Accent4 5 3" xfId="942"/>
    <cellStyle name="20% - Accent4 50" xfId="1821"/>
    <cellStyle name="20% - Accent4 6" xfId="135"/>
    <cellStyle name="20% - Accent4 6 2" xfId="454"/>
    <cellStyle name="20% - Accent4 6 2 2" xfId="1261"/>
    <cellStyle name="20% - Accent4 6 3" xfId="956"/>
    <cellStyle name="20% - Accent4 7" xfId="149"/>
    <cellStyle name="20% - Accent4 7 2" xfId="468"/>
    <cellStyle name="20% - Accent4 7 2 2" xfId="1275"/>
    <cellStyle name="20% - Accent4 7 3" xfId="970"/>
    <cellStyle name="20% - Accent4 8" xfId="163"/>
    <cellStyle name="20% - Accent4 8 2" xfId="482"/>
    <cellStyle name="20% - Accent4 8 2 2" xfId="1289"/>
    <cellStyle name="20% - Accent4 8 3" xfId="984"/>
    <cellStyle name="20% - Accent4 9" xfId="177"/>
    <cellStyle name="20% - Accent4 9 2" xfId="496"/>
    <cellStyle name="20% - Accent4 9 2 2" xfId="1303"/>
    <cellStyle name="20% - Accent4 9 3" xfId="998"/>
    <cellStyle name="20% - Accent5" xfId="17" builtinId="46" customBuiltin="1"/>
    <cellStyle name="20% - Accent5 10" xfId="193"/>
    <cellStyle name="20% - Accent5 10 2" xfId="512"/>
    <cellStyle name="20% - Accent5 10 2 2" xfId="1319"/>
    <cellStyle name="20% - Accent5 10 3" xfId="1014"/>
    <cellStyle name="20% - Accent5 11" xfId="207"/>
    <cellStyle name="20% - Accent5 11 2" xfId="526"/>
    <cellStyle name="20% - Accent5 11 2 2" xfId="1333"/>
    <cellStyle name="20% - Accent5 11 3" xfId="1028"/>
    <cellStyle name="20% - Accent5 12" xfId="221"/>
    <cellStyle name="20% - Accent5 12 2" xfId="540"/>
    <cellStyle name="20% - Accent5 12 2 2" xfId="1347"/>
    <cellStyle name="20% - Accent5 12 3" xfId="1042"/>
    <cellStyle name="20% - Accent5 13" xfId="235"/>
    <cellStyle name="20% - Accent5 13 2" xfId="555"/>
    <cellStyle name="20% - Accent5 13 2 2" xfId="1361"/>
    <cellStyle name="20% - Accent5 13 3" xfId="1056"/>
    <cellStyle name="20% - Accent5 14" xfId="249"/>
    <cellStyle name="20% - Accent5 14 2" xfId="569"/>
    <cellStyle name="20% - Accent5 14 2 2" xfId="1375"/>
    <cellStyle name="20% - Accent5 14 3" xfId="1070"/>
    <cellStyle name="20% - Accent5 15" xfId="263"/>
    <cellStyle name="20% - Accent5 15 2" xfId="583"/>
    <cellStyle name="20% - Accent5 15 2 2" xfId="1389"/>
    <cellStyle name="20% - Accent5 15 3" xfId="1084"/>
    <cellStyle name="20% - Accent5 16" xfId="277"/>
    <cellStyle name="20% - Accent5 16 2" xfId="597"/>
    <cellStyle name="20% - Accent5 16 2 2" xfId="1403"/>
    <cellStyle name="20% - Accent5 16 3" xfId="1098"/>
    <cellStyle name="20% - Accent5 17" xfId="291"/>
    <cellStyle name="20% - Accent5 17 2" xfId="611"/>
    <cellStyle name="20% - Accent5 17 2 2" xfId="1417"/>
    <cellStyle name="20% - Accent5 17 3" xfId="1112"/>
    <cellStyle name="20% - Accent5 18" xfId="305"/>
    <cellStyle name="20% - Accent5 18 2" xfId="625"/>
    <cellStyle name="20% - Accent5 18 2 2" xfId="1431"/>
    <cellStyle name="20% - Accent5 18 3" xfId="1126"/>
    <cellStyle name="20% - Accent5 19" xfId="319"/>
    <cellStyle name="20% - Accent5 19 2" xfId="639"/>
    <cellStyle name="20% - Accent5 19 2 2" xfId="1445"/>
    <cellStyle name="20% - Accent5 19 3" xfId="1140"/>
    <cellStyle name="20% - Accent5 2" xfId="18"/>
    <cellStyle name="20% - Accent5 2 2" xfId="396"/>
    <cellStyle name="20% - Accent5 2 2 2" xfId="1212"/>
    <cellStyle name="20% - Accent5 2 3" xfId="904"/>
    <cellStyle name="20% - Accent5 20" xfId="333"/>
    <cellStyle name="20% - Accent5 20 2" xfId="653"/>
    <cellStyle name="20% - Accent5 20 2 2" xfId="1459"/>
    <cellStyle name="20% - Accent5 20 3" xfId="1154"/>
    <cellStyle name="20% - Accent5 21" xfId="347"/>
    <cellStyle name="20% - Accent5 21 2" xfId="667"/>
    <cellStyle name="20% - Accent5 21 2 2" xfId="1473"/>
    <cellStyle name="20% - Accent5 21 3" xfId="1168"/>
    <cellStyle name="20% - Accent5 22" xfId="361"/>
    <cellStyle name="20% - Accent5 22 2" xfId="1182"/>
    <cellStyle name="20% - Accent5 23" xfId="375"/>
    <cellStyle name="20% - Accent5 23 2" xfId="1196"/>
    <cellStyle name="20% - Accent5 24" xfId="395"/>
    <cellStyle name="20% - Accent5 25" xfId="681"/>
    <cellStyle name="20% - Accent5 25 2" xfId="1487"/>
    <cellStyle name="20% - Accent5 26" xfId="695"/>
    <cellStyle name="20% - Accent5 26 2" xfId="1501"/>
    <cellStyle name="20% - Accent5 27" xfId="709"/>
    <cellStyle name="20% - Accent5 27 2" xfId="1515"/>
    <cellStyle name="20% - Accent5 28" xfId="723"/>
    <cellStyle name="20% - Accent5 28 2" xfId="1529"/>
    <cellStyle name="20% - Accent5 29" xfId="737"/>
    <cellStyle name="20% - Accent5 29 2" xfId="1543"/>
    <cellStyle name="20% - Accent5 3" xfId="19"/>
    <cellStyle name="20% - Accent5 3 2" xfId="397"/>
    <cellStyle name="20% - Accent5 3 2 2" xfId="1213"/>
    <cellStyle name="20% - Accent5 3 3" xfId="901"/>
    <cellStyle name="20% - Accent5 30" xfId="751"/>
    <cellStyle name="20% - Accent5 30 2" xfId="1557"/>
    <cellStyle name="20% - Accent5 31" xfId="765"/>
    <cellStyle name="20% - Accent5 31 2" xfId="1571"/>
    <cellStyle name="20% - Accent5 32" xfId="779"/>
    <cellStyle name="20% - Accent5 32 2" xfId="1585"/>
    <cellStyle name="20% - Accent5 33" xfId="793"/>
    <cellStyle name="20% - Accent5 33 2" xfId="1599"/>
    <cellStyle name="20% - Accent5 34" xfId="807"/>
    <cellStyle name="20% - Accent5 34 2" xfId="1613"/>
    <cellStyle name="20% - Accent5 35" xfId="821"/>
    <cellStyle name="20% - Accent5 35 2" xfId="1627"/>
    <cellStyle name="20% - Accent5 36" xfId="835"/>
    <cellStyle name="20% - Accent5 36 2" xfId="1641"/>
    <cellStyle name="20% - Accent5 37" xfId="844"/>
    <cellStyle name="20% - Accent5 37 2" xfId="1650"/>
    <cellStyle name="20% - Accent5 38" xfId="863"/>
    <cellStyle name="20% - Accent5 38 2" xfId="1669"/>
    <cellStyle name="20% - Accent5 39" xfId="877"/>
    <cellStyle name="20% - Accent5 39 2" xfId="1683"/>
    <cellStyle name="20% - Accent5 4" xfId="20"/>
    <cellStyle name="20% - Accent5 4 2" xfId="398"/>
    <cellStyle name="20% - Accent5 4 2 2" xfId="1214"/>
    <cellStyle name="20% - Accent5 4 3" xfId="897"/>
    <cellStyle name="20% - Accent5 40" xfId="908"/>
    <cellStyle name="20% - Accent5 41" xfId="1697"/>
    <cellStyle name="20% - Accent5 42" xfId="1711"/>
    <cellStyle name="20% - Accent5 43" xfId="1725"/>
    <cellStyle name="20% - Accent5 44" xfId="1739"/>
    <cellStyle name="20% - Accent5 45" xfId="1748"/>
    <cellStyle name="20% - Accent5 46" xfId="1767"/>
    <cellStyle name="20% - Accent5 47" xfId="1781"/>
    <cellStyle name="20% - Accent5 48" xfId="1795"/>
    <cellStyle name="20% - Accent5 49" xfId="1809"/>
    <cellStyle name="20% - Accent5 5" xfId="123"/>
    <cellStyle name="20% - Accent5 5 2" xfId="442"/>
    <cellStyle name="20% - Accent5 5 2 2" xfId="1249"/>
    <cellStyle name="20% - Accent5 5 3" xfId="944"/>
    <cellStyle name="20% - Accent5 50" xfId="1823"/>
    <cellStyle name="20% - Accent5 6" xfId="137"/>
    <cellStyle name="20% - Accent5 6 2" xfId="456"/>
    <cellStyle name="20% - Accent5 6 2 2" xfId="1263"/>
    <cellStyle name="20% - Accent5 6 3" xfId="958"/>
    <cellStyle name="20% - Accent5 7" xfId="151"/>
    <cellStyle name="20% - Accent5 7 2" xfId="470"/>
    <cellStyle name="20% - Accent5 7 2 2" xfId="1277"/>
    <cellStyle name="20% - Accent5 7 3" xfId="972"/>
    <cellStyle name="20% - Accent5 8" xfId="165"/>
    <cellStyle name="20% - Accent5 8 2" xfId="484"/>
    <cellStyle name="20% - Accent5 8 2 2" xfId="1291"/>
    <cellStyle name="20% - Accent5 8 3" xfId="986"/>
    <cellStyle name="20% - Accent5 9" xfId="179"/>
    <cellStyle name="20% - Accent5 9 2" xfId="498"/>
    <cellStyle name="20% - Accent5 9 2 2" xfId="1305"/>
    <cellStyle name="20% - Accent5 9 3" xfId="1000"/>
    <cellStyle name="20% - Accent6" xfId="21" builtinId="50" customBuiltin="1"/>
    <cellStyle name="20% - Accent6 10" xfId="195"/>
    <cellStyle name="20% - Accent6 10 2" xfId="514"/>
    <cellStyle name="20% - Accent6 10 2 2" xfId="1321"/>
    <cellStyle name="20% - Accent6 10 3" xfId="1016"/>
    <cellStyle name="20% - Accent6 11" xfId="209"/>
    <cellStyle name="20% - Accent6 11 2" xfId="528"/>
    <cellStyle name="20% - Accent6 11 2 2" xfId="1335"/>
    <cellStyle name="20% - Accent6 11 3" xfId="1030"/>
    <cellStyle name="20% - Accent6 12" xfId="223"/>
    <cellStyle name="20% - Accent6 12 2" xfId="542"/>
    <cellStyle name="20% - Accent6 12 2 2" xfId="1349"/>
    <cellStyle name="20% - Accent6 12 3" xfId="1044"/>
    <cellStyle name="20% - Accent6 13" xfId="237"/>
    <cellStyle name="20% - Accent6 13 2" xfId="557"/>
    <cellStyle name="20% - Accent6 13 2 2" xfId="1363"/>
    <cellStyle name="20% - Accent6 13 3" xfId="1058"/>
    <cellStyle name="20% - Accent6 14" xfId="251"/>
    <cellStyle name="20% - Accent6 14 2" xfId="571"/>
    <cellStyle name="20% - Accent6 14 2 2" xfId="1377"/>
    <cellStyle name="20% - Accent6 14 3" xfId="1072"/>
    <cellStyle name="20% - Accent6 15" xfId="265"/>
    <cellStyle name="20% - Accent6 15 2" xfId="585"/>
    <cellStyle name="20% - Accent6 15 2 2" xfId="1391"/>
    <cellStyle name="20% - Accent6 15 3" xfId="1086"/>
    <cellStyle name="20% - Accent6 16" xfId="279"/>
    <cellStyle name="20% - Accent6 16 2" xfId="599"/>
    <cellStyle name="20% - Accent6 16 2 2" xfId="1405"/>
    <cellStyle name="20% - Accent6 16 3" xfId="1100"/>
    <cellStyle name="20% - Accent6 17" xfId="293"/>
    <cellStyle name="20% - Accent6 17 2" xfId="613"/>
    <cellStyle name="20% - Accent6 17 2 2" xfId="1419"/>
    <cellStyle name="20% - Accent6 17 3" xfId="1114"/>
    <cellStyle name="20% - Accent6 18" xfId="307"/>
    <cellStyle name="20% - Accent6 18 2" xfId="627"/>
    <cellStyle name="20% - Accent6 18 2 2" xfId="1433"/>
    <cellStyle name="20% - Accent6 18 3" xfId="1128"/>
    <cellStyle name="20% - Accent6 19" xfId="321"/>
    <cellStyle name="20% - Accent6 19 2" xfId="641"/>
    <cellStyle name="20% - Accent6 19 2 2" xfId="1447"/>
    <cellStyle name="20% - Accent6 19 3" xfId="1142"/>
    <cellStyle name="20% - Accent6 2" xfId="22"/>
    <cellStyle name="20% - Accent6 2 2" xfId="400"/>
    <cellStyle name="20% - Accent6 2 2 2" xfId="1215"/>
    <cellStyle name="20% - Accent6 2 3" xfId="914"/>
    <cellStyle name="20% - Accent6 20" xfId="335"/>
    <cellStyle name="20% - Accent6 20 2" xfId="655"/>
    <cellStyle name="20% - Accent6 20 2 2" xfId="1461"/>
    <cellStyle name="20% - Accent6 20 3" xfId="1156"/>
    <cellStyle name="20% - Accent6 21" xfId="349"/>
    <cellStyle name="20% - Accent6 21 2" xfId="669"/>
    <cellStyle name="20% - Accent6 21 2 2" xfId="1475"/>
    <cellStyle name="20% - Accent6 21 3" xfId="1170"/>
    <cellStyle name="20% - Accent6 22" xfId="363"/>
    <cellStyle name="20% - Accent6 22 2" xfId="1184"/>
    <cellStyle name="20% - Accent6 23" xfId="377"/>
    <cellStyle name="20% - Accent6 23 2" xfId="1198"/>
    <cellStyle name="20% - Accent6 24" xfId="399"/>
    <cellStyle name="20% - Accent6 25" xfId="683"/>
    <cellStyle name="20% - Accent6 25 2" xfId="1489"/>
    <cellStyle name="20% - Accent6 26" xfId="697"/>
    <cellStyle name="20% - Accent6 26 2" xfId="1503"/>
    <cellStyle name="20% - Accent6 27" xfId="711"/>
    <cellStyle name="20% - Accent6 27 2" xfId="1517"/>
    <cellStyle name="20% - Accent6 28" xfId="725"/>
    <cellStyle name="20% - Accent6 28 2" xfId="1531"/>
    <cellStyle name="20% - Accent6 29" xfId="739"/>
    <cellStyle name="20% - Accent6 29 2" xfId="1545"/>
    <cellStyle name="20% - Accent6 3" xfId="23"/>
    <cellStyle name="20% - Accent6 3 2" xfId="401"/>
    <cellStyle name="20% - Accent6 3 2 2" xfId="1216"/>
    <cellStyle name="20% - Accent6 3 3" xfId="910"/>
    <cellStyle name="20% - Accent6 30" xfId="753"/>
    <cellStyle name="20% - Accent6 30 2" xfId="1559"/>
    <cellStyle name="20% - Accent6 31" xfId="767"/>
    <cellStyle name="20% - Accent6 31 2" xfId="1573"/>
    <cellStyle name="20% - Accent6 32" xfId="781"/>
    <cellStyle name="20% - Accent6 32 2" xfId="1587"/>
    <cellStyle name="20% - Accent6 33" xfId="795"/>
    <cellStyle name="20% - Accent6 33 2" xfId="1601"/>
    <cellStyle name="20% - Accent6 34" xfId="809"/>
    <cellStyle name="20% - Accent6 34 2" xfId="1615"/>
    <cellStyle name="20% - Accent6 35" xfId="823"/>
    <cellStyle name="20% - Accent6 35 2" xfId="1629"/>
    <cellStyle name="20% - Accent6 36" xfId="837"/>
    <cellStyle name="20% - Accent6 36 2" xfId="1643"/>
    <cellStyle name="20% - Accent6 37" xfId="845"/>
    <cellStyle name="20% - Accent6 37 2" xfId="1651"/>
    <cellStyle name="20% - Accent6 38" xfId="865"/>
    <cellStyle name="20% - Accent6 38 2" xfId="1671"/>
    <cellStyle name="20% - Accent6 39" xfId="879"/>
    <cellStyle name="20% - Accent6 39 2" xfId="1685"/>
    <cellStyle name="20% - Accent6 4" xfId="24"/>
    <cellStyle name="20% - Accent6 4 2" xfId="402"/>
    <cellStyle name="20% - Accent6 4 2 2" xfId="1217"/>
    <cellStyle name="20% - Accent6 4 3" xfId="907"/>
    <cellStyle name="20% - Accent6 40" xfId="912"/>
    <cellStyle name="20% - Accent6 41" xfId="1699"/>
    <cellStyle name="20% - Accent6 42" xfId="1713"/>
    <cellStyle name="20% - Accent6 43" xfId="1727"/>
    <cellStyle name="20% - Accent6 44" xfId="1741"/>
    <cellStyle name="20% - Accent6 45" xfId="1749"/>
    <cellStyle name="20% - Accent6 46" xfId="1769"/>
    <cellStyle name="20% - Accent6 47" xfId="1783"/>
    <cellStyle name="20% - Accent6 48" xfId="1797"/>
    <cellStyle name="20% - Accent6 49" xfId="1811"/>
    <cellStyle name="20% - Accent6 5" xfId="125"/>
    <cellStyle name="20% - Accent6 5 2" xfId="444"/>
    <cellStyle name="20% - Accent6 5 2 2" xfId="1251"/>
    <cellStyle name="20% - Accent6 5 3" xfId="946"/>
    <cellStyle name="20% - Accent6 50" xfId="1825"/>
    <cellStyle name="20% - Accent6 6" xfId="139"/>
    <cellStyle name="20% - Accent6 6 2" xfId="458"/>
    <cellStyle name="20% - Accent6 6 2 2" xfId="1265"/>
    <cellStyle name="20% - Accent6 6 3" xfId="960"/>
    <cellStyle name="20% - Accent6 7" xfId="153"/>
    <cellStyle name="20% - Accent6 7 2" xfId="472"/>
    <cellStyle name="20% - Accent6 7 2 2" xfId="1279"/>
    <cellStyle name="20% - Accent6 7 3" xfId="974"/>
    <cellStyle name="20% - Accent6 8" xfId="167"/>
    <cellStyle name="20% - Accent6 8 2" xfId="486"/>
    <cellStyle name="20% - Accent6 8 2 2" xfId="1293"/>
    <cellStyle name="20% - Accent6 8 3" xfId="988"/>
    <cellStyle name="20% - Accent6 9" xfId="181"/>
    <cellStyle name="20% - Accent6 9 2" xfId="500"/>
    <cellStyle name="20% - Accent6 9 2 2" xfId="1307"/>
    <cellStyle name="20% - Accent6 9 3" xfId="1002"/>
    <cellStyle name="40% - Accent1" xfId="25" builtinId="31" customBuiltin="1"/>
    <cellStyle name="40% - Accent1 10" xfId="186"/>
    <cellStyle name="40% - Accent1 10 2" xfId="505"/>
    <cellStyle name="40% - Accent1 10 2 2" xfId="1312"/>
    <cellStyle name="40% - Accent1 10 3" xfId="1007"/>
    <cellStyle name="40% - Accent1 11" xfId="200"/>
    <cellStyle name="40% - Accent1 11 2" xfId="519"/>
    <cellStyle name="40% - Accent1 11 2 2" xfId="1326"/>
    <cellStyle name="40% - Accent1 11 3" xfId="1021"/>
    <cellStyle name="40% - Accent1 12" xfId="214"/>
    <cellStyle name="40% - Accent1 12 2" xfId="533"/>
    <cellStyle name="40% - Accent1 12 2 2" xfId="1340"/>
    <cellStyle name="40% - Accent1 12 3" xfId="1035"/>
    <cellStyle name="40% - Accent1 13" xfId="228"/>
    <cellStyle name="40% - Accent1 13 2" xfId="548"/>
    <cellStyle name="40% - Accent1 13 2 2" xfId="1354"/>
    <cellStyle name="40% - Accent1 13 3" xfId="1049"/>
    <cellStyle name="40% - Accent1 14" xfId="242"/>
    <cellStyle name="40% - Accent1 14 2" xfId="562"/>
    <cellStyle name="40% - Accent1 14 2 2" xfId="1368"/>
    <cellStyle name="40% - Accent1 14 3" xfId="1063"/>
    <cellStyle name="40% - Accent1 15" xfId="256"/>
    <cellStyle name="40% - Accent1 15 2" xfId="576"/>
    <cellStyle name="40% - Accent1 15 2 2" xfId="1382"/>
    <cellStyle name="40% - Accent1 15 3" xfId="1077"/>
    <cellStyle name="40% - Accent1 16" xfId="270"/>
    <cellStyle name="40% - Accent1 16 2" xfId="590"/>
    <cellStyle name="40% - Accent1 16 2 2" xfId="1396"/>
    <cellStyle name="40% - Accent1 16 3" xfId="1091"/>
    <cellStyle name="40% - Accent1 17" xfId="284"/>
    <cellStyle name="40% - Accent1 17 2" xfId="604"/>
    <cellStyle name="40% - Accent1 17 2 2" xfId="1410"/>
    <cellStyle name="40% - Accent1 17 3" xfId="1105"/>
    <cellStyle name="40% - Accent1 18" xfId="298"/>
    <cellStyle name="40% - Accent1 18 2" xfId="618"/>
    <cellStyle name="40% - Accent1 18 2 2" xfId="1424"/>
    <cellStyle name="40% - Accent1 18 3" xfId="1119"/>
    <cellStyle name="40% - Accent1 19" xfId="312"/>
    <cellStyle name="40% - Accent1 19 2" xfId="632"/>
    <cellStyle name="40% - Accent1 19 2 2" xfId="1438"/>
    <cellStyle name="40% - Accent1 19 3" xfId="1133"/>
    <cellStyle name="40% - Accent1 2" xfId="26"/>
    <cellStyle name="40% - Accent1 2 2" xfId="404"/>
    <cellStyle name="40% - Accent1 2 2 2" xfId="1218"/>
    <cellStyle name="40% - Accent1 2 3" xfId="900"/>
    <cellStyle name="40% - Accent1 20" xfId="326"/>
    <cellStyle name="40% - Accent1 20 2" xfId="646"/>
    <cellStyle name="40% - Accent1 20 2 2" xfId="1452"/>
    <cellStyle name="40% - Accent1 20 3" xfId="1147"/>
    <cellStyle name="40% - Accent1 21" xfId="340"/>
    <cellStyle name="40% - Accent1 21 2" xfId="660"/>
    <cellStyle name="40% - Accent1 21 2 2" xfId="1466"/>
    <cellStyle name="40% - Accent1 21 3" xfId="1161"/>
    <cellStyle name="40% - Accent1 22" xfId="354"/>
    <cellStyle name="40% - Accent1 22 2" xfId="1175"/>
    <cellStyle name="40% - Accent1 23" xfId="368"/>
    <cellStyle name="40% - Accent1 23 2" xfId="1189"/>
    <cellStyle name="40% - Accent1 24" xfId="403"/>
    <cellStyle name="40% - Accent1 25" xfId="674"/>
    <cellStyle name="40% - Accent1 25 2" xfId="1480"/>
    <cellStyle name="40% - Accent1 26" xfId="688"/>
    <cellStyle name="40% - Accent1 26 2" xfId="1494"/>
    <cellStyle name="40% - Accent1 27" xfId="702"/>
    <cellStyle name="40% - Accent1 27 2" xfId="1508"/>
    <cellStyle name="40% - Accent1 28" xfId="716"/>
    <cellStyle name="40% - Accent1 28 2" xfId="1522"/>
    <cellStyle name="40% - Accent1 29" xfId="730"/>
    <cellStyle name="40% - Accent1 29 2" xfId="1536"/>
    <cellStyle name="40% - Accent1 3" xfId="27"/>
    <cellStyle name="40% - Accent1 3 2" xfId="405"/>
    <cellStyle name="40% - Accent1 3 2 2" xfId="1219"/>
    <cellStyle name="40% - Accent1 3 3" xfId="896"/>
    <cellStyle name="40% - Accent1 30" xfId="744"/>
    <cellStyle name="40% - Accent1 30 2" xfId="1550"/>
    <cellStyle name="40% - Accent1 31" xfId="758"/>
    <cellStyle name="40% - Accent1 31 2" xfId="1564"/>
    <cellStyle name="40% - Accent1 32" xfId="772"/>
    <cellStyle name="40% - Accent1 32 2" xfId="1578"/>
    <cellStyle name="40% - Accent1 33" xfId="786"/>
    <cellStyle name="40% - Accent1 33 2" xfId="1592"/>
    <cellStyle name="40% - Accent1 34" xfId="800"/>
    <cellStyle name="40% - Accent1 34 2" xfId="1606"/>
    <cellStyle name="40% - Accent1 35" xfId="814"/>
    <cellStyle name="40% - Accent1 35 2" xfId="1620"/>
    <cellStyle name="40% - Accent1 36" xfId="828"/>
    <cellStyle name="40% - Accent1 36 2" xfId="1634"/>
    <cellStyle name="40% - Accent1 37" xfId="846"/>
    <cellStyle name="40% - Accent1 37 2" xfId="1652"/>
    <cellStyle name="40% - Accent1 38" xfId="856"/>
    <cellStyle name="40% - Accent1 38 2" xfId="1662"/>
    <cellStyle name="40% - Accent1 39" xfId="870"/>
    <cellStyle name="40% - Accent1 39 2" xfId="1676"/>
    <cellStyle name="40% - Accent1 4" xfId="28"/>
    <cellStyle name="40% - Accent1 4 2" xfId="406"/>
    <cellStyle name="40% - Accent1 4 2 2" xfId="1220"/>
    <cellStyle name="40% - Accent1 4 3" xfId="915"/>
    <cellStyle name="40% - Accent1 40" xfId="895"/>
    <cellStyle name="40% - Accent1 41" xfId="1690"/>
    <cellStyle name="40% - Accent1 42" xfId="1704"/>
    <cellStyle name="40% - Accent1 43" xfId="1718"/>
    <cellStyle name="40% - Accent1 44" xfId="1732"/>
    <cellStyle name="40% - Accent1 45" xfId="1750"/>
    <cellStyle name="40% - Accent1 46" xfId="1760"/>
    <cellStyle name="40% - Accent1 47" xfId="1774"/>
    <cellStyle name="40% - Accent1 48" xfId="1788"/>
    <cellStyle name="40% - Accent1 49" xfId="1802"/>
    <cellStyle name="40% - Accent1 5" xfId="116"/>
    <cellStyle name="40% - Accent1 5 2" xfId="435"/>
    <cellStyle name="40% - Accent1 5 2 2" xfId="1242"/>
    <cellStyle name="40% - Accent1 5 3" xfId="937"/>
    <cellStyle name="40% - Accent1 50" xfId="1816"/>
    <cellStyle name="40% - Accent1 6" xfId="130"/>
    <cellStyle name="40% - Accent1 6 2" xfId="449"/>
    <cellStyle name="40% - Accent1 6 2 2" xfId="1256"/>
    <cellStyle name="40% - Accent1 6 3" xfId="951"/>
    <cellStyle name="40% - Accent1 7" xfId="144"/>
    <cellStyle name="40% - Accent1 7 2" xfId="463"/>
    <cellStyle name="40% - Accent1 7 2 2" xfId="1270"/>
    <cellStyle name="40% - Accent1 7 3" xfId="965"/>
    <cellStyle name="40% - Accent1 8" xfId="158"/>
    <cellStyle name="40% - Accent1 8 2" xfId="477"/>
    <cellStyle name="40% - Accent1 8 2 2" xfId="1284"/>
    <cellStyle name="40% - Accent1 8 3" xfId="979"/>
    <cellStyle name="40% - Accent1 9" xfId="172"/>
    <cellStyle name="40% - Accent1 9 2" xfId="491"/>
    <cellStyle name="40% - Accent1 9 2 2" xfId="1298"/>
    <cellStyle name="40% - Accent1 9 3" xfId="993"/>
    <cellStyle name="40% - Accent2" xfId="29" builtinId="35" customBuiltin="1"/>
    <cellStyle name="40% - Accent2 10" xfId="188"/>
    <cellStyle name="40% - Accent2 10 2" xfId="507"/>
    <cellStyle name="40% - Accent2 10 2 2" xfId="1314"/>
    <cellStyle name="40% - Accent2 10 3" xfId="1009"/>
    <cellStyle name="40% - Accent2 11" xfId="202"/>
    <cellStyle name="40% - Accent2 11 2" xfId="521"/>
    <cellStyle name="40% - Accent2 11 2 2" xfId="1328"/>
    <cellStyle name="40% - Accent2 11 3" xfId="1023"/>
    <cellStyle name="40% - Accent2 12" xfId="216"/>
    <cellStyle name="40% - Accent2 12 2" xfId="535"/>
    <cellStyle name="40% - Accent2 12 2 2" xfId="1342"/>
    <cellStyle name="40% - Accent2 12 3" xfId="1037"/>
    <cellStyle name="40% - Accent2 13" xfId="230"/>
    <cellStyle name="40% - Accent2 13 2" xfId="550"/>
    <cellStyle name="40% - Accent2 13 2 2" xfId="1356"/>
    <cellStyle name="40% - Accent2 13 3" xfId="1051"/>
    <cellStyle name="40% - Accent2 14" xfId="244"/>
    <cellStyle name="40% - Accent2 14 2" xfId="564"/>
    <cellStyle name="40% - Accent2 14 2 2" xfId="1370"/>
    <cellStyle name="40% - Accent2 14 3" xfId="1065"/>
    <cellStyle name="40% - Accent2 15" xfId="258"/>
    <cellStyle name="40% - Accent2 15 2" xfId="578"/>
    <cellStyle name="40% - Accent2 15 2 2" xfId="1384"/>
    <cellStyle name="40% - Accent2 15 3" xfId="1079"/>
    <cellStyle name="40% - Accent2 16" xfId="272"/>
    <cellStyle name="40% - Accent2 16 2" xfId="592"/>
    <cellStyle name="40% - Accent2 16 2 2" xfId="1398"/>
    <cellStyle name="40% - Accent2 16 3" xfId="1093"/>
    <cellStyle name="40% - Accent2 17" xfId="286"/>
    <cellStyle name="40% - Accent2 17 2" xfId="606"/>
    <cellStyle name="40% - Accent2 17 2 2" xfId="1412"/>
    <cellStyle name="40% - Accent2 17 3" xfId="1107"/>
    <cellStyle name="40% - Accent2 18" xfId="300"/>
    <cellStyle name="40% - Accent2 18 2" xfId="620"/>
    <cellStyle name="40% - Accent2 18 2 2" xfId="1426"/>
    <cellStyle name="40% - Accent2 18 3" xfId="1121"/>
    <cellStyle name="40% - Accent2 19" xfId="314"/>
    <cellStyle name="40% - Accent2 19 2" xfId="634"/>
    <cellStyle name="40% - Accent2 19 2 2" xfId="1440"/>
    <cellStyle name="40% - Accent2 19 3" xfId="1135"/>
    <cellStyle name="40% - Accent2 2" xfId="30"/>
    <cellStyle name="40% - Accent2 2 2" xfId="408"/>
    <cellStyle name="40% - Accent2 2 2 2" xfId="1221"/>
    <cellStyle name="40% - Accent2 2 3" xfId="916"/>
    <cellStyle name="40% - Accent2 20" xfId="328"/>
    <cellStyle name="40% - Accent2 20 2" xfId="648"/>
    <cellStyle name="40% - Accent2 20 2 2" xfId="1454"/>
    <cellStyle name="40% - Accent2 20 3" xfId="1149"/>
    <cellStyle name="40% - Accent2 21" xfId="342"/>
    <cellStyle name="40% - Accent2 21 2" xfId="662"/>
    <cellStyle name="40% - Accent2 21 2 2" xfId="1468"/>
    <cellStyle name="40% - Accent2 21 3" xfId="1163"/>
    <cellStyle name="40% - Accent2 22" xfId="356"/>
    <cellStyle name="40% - Accent2 22 2" xfId="1177"/>
    <cellStyle name="40% - Accent2 23" xfId="370"/>
    <cellStyle name="40% - Accent2 23 2" xfId="1191"/>
    <cellStyle name="40% - Accent2 24" xfId="407"/>
    <cellStyle name="40% - Accent2 25" xfId="676"/>
    <cellStyle name="40% - Accent2 25 2" xfId="1482"/>
    <cellStyle name="40% - Accent2 26" xfId="690"/>
    <cellStyle name="40% - Accent2 26 2" xfId="1496"/>
    <cellStyle name="40% - Accent2 27" xfId="704"/>
    <cellStyle name="40% - Accent2 27 2" xfId="1510"/>
    <cellStyle name="40% - Accent2 28" xfId="718"/>
    <cellStyle name="40% - Accent2 28 2" xfId="1524"/>
    <cellStyle name="40% - Accent2 29" xfId="732"/>
    <cellStyle name="40% - Accent2 29 2" xfId="1538"/>
    <cellStyle name="40% - Accent2 3" xfId="31"/>
    <cellStyle name="40% - Accent2 3 2" xfId="409"/>
    <cellStyle name="40% - Accent2 3 2 2" xfId="1222"/>
    <cellStyle name="40% - Accent2 3 3" xfId="917"/>
    <cellStyle name="40% - Accent2 30" xfId="746"/>
    <cellStyle name="40% - Accent2 30 2" xfId="1552"/>
    <cellStyle name="40% - Accent2 31" xfId="760"/>
    <cellStyle name="40% - Accent2 31 2" xfId="1566"/>
    <cellStyle name="40% - Accent2 32" xfId="774"/>
    <cellStyle name="40% - Accent2 32 2" xfId="1580"/>
    <cellStyle name="40% - Accent2 33" xfId="788"/>
    <cellStyle name="40% - Accent2 33 2" xfId="1594"/>
    <cellStyle name="40% - Accent2 34" xfId="802"/>
    <cellStyle name="40% - Accent2 34 2" xfId="1608"/>
    <cellStyle name="40% - Accent2 35" xfId="816"/>
    <cellStyle name="40% - Accent2 35 2" xfId="1622"/>
    <cellStyle name="40% - Accent2 36" xfId="830"/>
    <cellStyle name="40% - Accent2 36 2" xfId="1636"/>
    <cellStyle name="40% - Accent2 37" xfId="847"/>
    <cellStyle name="40% - Accent2 37 2" xfId="1653"/>
    <cellStyle name="40% - Accent2 38" xfId="858"/>
    <cellStyle name="40% - Accent2 38 2" xfId="1664"/>
    <cellStyle name="40% - Accent2 39" xfId="872"/>
    <cellStyle name="40% - Accent2 39 2" xfId="1678"/>
    <cellStyle name="40% - Accent2 4" xfId="32"/>
    <cellStyle name="40% - Accent2 4 2" xfId="410"/>
    <cellStyle name="40% - Accent2 4 2 2" xfId="1223"/>
    <cellStyle name="40% - Accent2 4 3" xfId="918"/>
    <cellStyle name="40% - Accent2 40" xfId="899"/>
    <cellStyle name="40% - Accent2 41" xfId="1692"/>
    <cellStyle name="40% - Accent2 42" xfId="1706"/>
    <cellStyle name="40% - Accent2 43" xfId="1720"/>
    <cellStyle name="40% - Accent2 44" xfId="1734"/>
    <cellStyle name="40% - Accent2 45" xfId="1751"/>
    <cellStyle name="40% - Accent2 46" xfId="1762"/>
    <cellStyle name="40% - Accent2 47" xfId="1776"/>
    <cellStyle name="40% - Accent2 48" xfId="1790"/>
    <cellStyle name="40% - Accent2 49" xfId="1804"/>
    <cellStyle name="40% - Accent2 5" xfId="118"/>
    <cellStyle name="40% - Accent2 5 2" xfId="437"/>
    <cellStyle name="40% - Accent2 5 2 2" xfId="1244"/>
    <cellStyle name="40% - Accent2 5 3" xfId="939"/>
    <cellStyle name="40% - Accent2 50" xfId="1818"/>
    <cellStyle name="40% - Accent2 6" xfId="132"/>
    <cellStyle name="40% - Accent2 6 2" xfId="451"/>
    <cellStyle name="40% - Accent2 6 2 2" xfId="1258"/>
    <cellStyle name="40% - Accent2 6 3" xfId="953"/>
    <cellStyle name="40% - Accent2 7" xfId="146"/>
    <cellStyle name="40% - Accent2 7 2" xfId="465"/>
    <cellStyle name="40% - Accent2 7 2 2" xfId="1272"/>
    <cellStyle name="40% - Accent2 7 3" xfId="967"/>
    <cellStyle name="40% - Accent2 8" xfId="160"/>
    <cellStyle name="40% - Accent2 8 2" xfId="479"/>
    <cellStyle name="40% - Accent2 8 2 2" xfId="1286"/>
    <cellStyle name="40% - Accent2 8 3" xfId="981"/>
    <cellStyle name="40% - Accent2 9" xfId="174"/>
    <cellStyle name="40% - Accent2 9 2" xfId="493"/>
    <cellStyle name="40% - Accent2 9 2 2" xfId="1300"/>
    <cellStyle name="40% - Accent2 9 3" xfId="995"/>
    <cellStyle name="40% - Accent3" xfId="33" builtinId="39" customBuiltin="1"/>
    <cellStyle name="40% - Accent3 10" xfId="190"/>
    <cellStyle name="40% - Accent3 10 2" xfId="509"/>
    <cellStyle name="40% - Accent3 10 2 2" xfId="1316"/>
    <cellStyle name="40% - Accent3 10 3" xfId="1011"/>
    <cellStyle name="40% - Accent3 11" xfId="204"/>
    <cellStyle name="40% - Accent3 11 2" xfId="523"/>
    <cellStyle name="40% - Accent3 11 2 2" xfId="1330"/>
    <cellStyle name="40% - Accent3 11 3" xfId="1025"/>
    <cellStyle name="40% - Accent3 12" xfId="218"/>
    <cellStyle name="40% - Accent3 12 2" xfId="537"/>
    <cellStyle name="40% - Accent3 12 2 2" xfId="1344"/>
    <cellStyle name="40% - Accent3 12 3" xfId="1039"/>
    <cellStyle name="40% - Accent3 13" xfId="232"/>
    <cellStyle name="40% - Accent3 13 2" xfId="552"/>
    <cellStyle name="40% - Accent3 13 2 2" xfId="1358"/>
    <cellStyle name="40% - Accent3 13 3" xfId="1053"/>
    <cellStyle name="40% - Accent3 14" xfId="246"/>
    <cellStyle name="40% - Accent3 14 2" xfId="566"/>
    <cellStyle name="40% - Accent3 14 2 2" xfId="1372"/>
    <cellStyle name="40% - Accent3 14 3" xfId="1067"/>
    <cellStyle name="40% - Accent3 15" xfId="260"/>
    <cellStyle name="40% - Accent3 15 2" xfId="580"/>
    <cellStyle name="40% - Accent3 15 2 2" xfId="1386"/>
    <cellStyle name="40% - Accent3 15 3" xfId="1081"/>
    <cellStyle name="40% - Accent3 16" xfId="274"/>
    <cellStyle name="40% - Accent3 16 2" xfId="594"/>
    <cellStyle name="40% - Accent3 16 2 2" xfId="1400"/>
    <cellStyle name="40% - Accent3 16 3" xfId="1095"/>
    <cellStyle name="40% - Accent3 17" xfId="288"/>
    <cellStyle name="40% - Accent3 17 2" xfId="608"/>
    <cellStyle name="40% - Accent3 17 2 2" xfId="1414"/>
    <cellStyle name="40% - Accent3 17 3" xfId="1109"/>
    <cellStyle name="40% - Accent3 18" xfId="302"/>
    <cellStyle name="40% - Accent3 18 2" xfId="622"/>
    <cellStyle name="40% - Accent3 18 2 2" xfId="1428"/>
    <cellStyle name="40% - Accent3 18 3" xfId="1123"/>
    <cellStyle name="40% - Accent3 19" xfId="316"/>
    <cellStyle name="40% - Accent3 19 2" xfId="636"/>
    <cellStyle name="40% - Accent3 19 2 2" xfId="1442"/>
    <cellStyle name="40% - Accent3 19 3" xfId="1137"/>
    <cellStyle name="40% - Accent3 2" xfId="34"/>
    <cellStyle name="40% - Accent3 2 2" xfId="412"/>
    <cellStyle name="40% - Accent3 2 2 2" xfId="1224"/>
    <cellStyle name="40% - Accent3 2 3" xfId="919"/>
    <cellStyle name="40% - Accent3 20" xfId="330"/>
    <cellStyle name="40% - Accent3 20 2" xfId="650"/>
    <cellStyle name="40% - Accent3 20 2 2" xfId="1456"/>
    <cellStyle name="40% - Accent3 20 3" xfId="1151"/>
    <cellStyle name="40% - Accent3 21" xfId="344"/>
    <cellStyle name="40% - Accent3 21 2" xfId="664"/>
    <cellStyle name="40% - Accent3 21 2 2" xfId="1470"/>
    <cellStyle name="40% - Accent3 21 3" xfId="1165"/>
    <cellStyle name="40% - Accent3 22" xfId="358"/>
    <cellStyle name="40% - Accent3 22 2" xfId="1179"/>
    <cellStyle name="40% - Accent3 23" xfId="372"/>
    <cellStyle name="40% - Accent3 23 2" xfId="1193"/>
    <cellStyle name="40% - Accent3 24" xfId="411"/>
    <cellStyle name="40% - Accent3 25" xfId="678"/>
    <cellStyle name="40% - Accent3 25 2" xfId="1484"/>
    <cellStyle name="40% - Accent3 26" xfId="692"/>
    <cellStyle name="40% - Accent3 26 2" xfId="1498"/>
    <cellStyle name="40% - Accent3 27" xfId="706"/>
    <cellStyle name="40% - Accent3 27 2" xfId="1512"/>
    <cellStyle name="40% - Accent3 28" xfId="720"/>
    <cellStyle name="40% - Accent3 28 2" xfId="1526"/>
    <cellStyle name="40% - Accent3 29" xfId="734"/>
    <cellStyle name="40% - Accent3 29 2" xfId="1540"/>
    <cellStyle name="40% - Accent3 3" xfId="35"/>
    <cellStyle name="40% - Accent3 3 2" xfId="413"/>
    <cellStyle name="40% - Accent3 3 2 2" xfId="1225"/>
    <cellStyle name="40% - Accent3 3 3" xfId="920"/>
    <cellStyle name="40% - Accent3 30" xfId="748"/>
    <cellStyle name="40% - Accent3 30 2" xfId="1554"/>
    <cellStyle name="40% - Accent3 31" xfId="762"/>
    <cellStyle name="40% - Accent3 31 2" xfId="1568"/>
    <cellStyle name="40% - Accent3 32" xfId="776"/>
    <cellStyle name="40% - Accent3 32 2" xfId="1582"/>
    <cellStyle name="40% - Accent3 33" xfId="790"/>
    <cellStyle name="40% - Accent3 33 2" xfId="1596"/>
    <cellStyle name="40% - Accent3 34" xfId="804"/>
    <cellStyle name="40% - Accent3 34 2" xfId="1610"/>
    <cellStyle name="40% - Accent3 35" xfId="818"/>
    <cellStyle name="40% - Accent3 35 2" xfId="1624"/>
    <cellStyle name="40% - Accent3 36" xfId="832"/>
    <cellStyle name="40% - Accent3 36 2" xfId="1638"/>
    <cellStyle name="40% - Accent3 37" xfId="848"/>
    <cellStyle name="40% - Accent3 37 2" xfId="1654"/>
    <cellStyle name="40% - Accent3 38" xfId="860"/>
    <cellStyle name="40% - Accent3 38 2" xfId="1666"/>
    <cellStyle name="40% - Accent3 39" xfId="874"/>
    <cellStyle name="40% - Accent3 39 2" xfId="1680"/>
    <cellStyle name="40% - Accent3 4" xfId="36"/>
    <cellStyle name="40% - Accent3 4 2" xfId="414"/>
    <cellStyle name="40% - Accent3 4 2 2" xfId="1226"/>
    <cellStyle name="40% - Accent3 4 3" xfId="921"/>
    <cellStyle name="40% - Accent3 40" xfId="903"/>
    <cellStyle name="40% - Accent3 41" xfId="1694"/>
    <cellStyle name="40% - Accent3 42" xfId="1708"/>
    <cellStyle name="40% - Accent3 43" xfId="1722"/>
    <cellStyle name="40% - Accent3 44" xfId="1736"/>
    <cellStyle name="40% - Accent3 45" xfId="1752"/>
    <cellStyle name="40% - Accent3 46" xfId="1764"/>
    <cellStyle name="40% - Accent3 47" xfId="1778"/>
    <cellStyle name="40% - Accent3 48" xfId="1792"/>
    <cellStyle name="40% - Accent3 49" xfId="1806"/>
    <cellStyle name="40% - Accent3 5" xfId="120"/>
    <cellStyle name="40% - Accent3 5 2" xfId="439"/>
    <cellStyle name="40% - Accent3 5 2 2" xfId="1246"/>
    <cellStyle name="40% - Accent3 5 3" xfId="941"/>
    <cellStyle name="40% - Accent3 50" xfId="1820"/>
    <cellStyle name="40% - Accent3 6" xfId="134"/>
    <cellStyle name="40% - Accent3 6 2" xfId="453"/>
    <cellStyle name="40% - Accent3 6 2 2" xfId="1260"/>
    <cellStyle name="40% - Accent3 6 3" xfId="955"/>
    <cellStyle name="40% - Accent3 7" xfId="148"/>
    <cellStyle name="40% - Accent3 7 2" xfId="467"/>
    <cellStyle name="40% - Accent3 7 2 2" xfId="1274"/>
    <cellStyle name="40% - Accent3 7 3" xfId="969"/>
    <cellStyle name="40% - Accent3 8" xfId="162"/>
    <cellStyle name="40% - Accent3 8 2" xfId="481"/>
    <cellStyle name="40% - Accent3 8 2 2" xfId="1288"/>
    <cellStyle name="40% - Accent3 8 3" xfId="983"/>
    <cellStyle name="40% - Accent3 9" xfId="176"/>
    <cellStyle name="40% - Accent3 9 2" xfId="495"/>
    <cellStyle name="40% - Accent3 9 2 2" xfId="1302"/>
    <cellStyle name="40% - Accent3 9 3" xfId="997"/>
    <cellStyle name="40% - Accent4" xfId="37" builtinId="43" customBuiltin="1"/>
    <cellStyle name="40% - Accent4 10" xfId="192"/>
    <cellStyle name="40% - Accent4 10 2" xfId="511"/>
    <cellStyle name="40% - Accent4 10 2 2" xfId="1318"/>
    <cellStyle name="40% - Accent4 10 3" xfId="1013"/>
    <cellStyle name="40% - Accent4 11" xfId="206"/>
    <cellStyle name="40% - Accent4 11 2" xfId="525"/>
    <cellStyle name="40% - Accent4 11 2 2" xfId="1332"/>
    <cellStyle name="40% - Accent4 11 3" xfId="1027"/>
    <cellStyle name="40% - Accent4 12" xfId="220"/>
    <cellStyle name="40% - Accent4 12 2" xfId="539"/>
    <cellStyle name="40% - Accent4 12 2 2" xfId="1346"/>
    <cellStyle name="40% - Accent4 12 3" xfId="1041"/>
    <cellStyle name="40% - Accent4 13" xfId="234"/>
    <cellStyle name="40% - Accent4 13 2" xfId="554"/>
    <cellStyle name="40% - Accent4 13 2 2" xfId="1360"/>
    <cellStyle name="40% - Accent4 13 3" xfId="1055"/>
    <cellStyle name="40% - Accent4 14" xfId="248"/>
    <cellStyle name="40% - Accent4 14 2" xfId="568"/>
    <cellStyle name="40% - Accent4 14 2 2" xfId="1374"/>
    <cellStyle name="40% - Accent4 14 3" xfId="1069"/>
    <cellStyle name="40% - Accent4 15" xfId="262"/>
    <cellStyle name="40% - Accent4 15 2" xfId="582"/>
    <cellStyle name="40% - Accent4 15 2 2" xfId="1388"/>
    <cellStyle name="40% - Accent4 15 3" xfId="1083"/>
    <cellStyle name="40% - Accent4 16" xfId="276"/>
    <cellStyle name="40% - Accent4 16 2" xfId="596"/>
    <cellStyle name="40% - Accent4 16 2 2" xfId="1402"/>
    <cellStyle name="40% - Accent4 16 3" xfId="1097"/>
    <cellStyle name="40% - Accent4 17" xfId="290"/>
    <cellStyle name="40% - Accent4 17 2" xfId="610"/>
    <cellStyle name="40% - Accent4 17 2 2" xfId="1416"/>
    <cellStyle name="40% - Accent4 17 3" xfId="1111"/>
    <cellStyle name="40% - Accent4 18" xfId="304"/>
    <cellStyle name="40% - Accent4 18 2" xfId="624"/>
    <cellStyle name="40% - Accent4 18 2 2" xfId="1430"/>
    <cellStyle name="40% - Accent4 18 3" xfId="1125"/>
    <cellStyle name="40% - Accent4 19" xfId="318"/>
    <cellStyle name="40% - Accent4 19 2" xfId="638"/>
    <cellStyle name="40% - Accent4 19 2 2" xfId="1444"/>
    <cellStyle name="40% - Accent4 19 3" xfId="1139"/>
    <cellStyle name="40% - Accent4 2" xfId="38"/>
    <cellStyle name="40% - Accent4 2 2" xfId="416"/>
    <cellStyle name="40% - Accent4 2 2 2" xfId="1227"/>
    <cellStyle name="40% - Accent4 2 3" xfId="922"/>
    <cellStyle name="40% - Accent4 20" xfId="332"/>
    <cellStyle name="40% - Accent4 20 2" xfId="652"/>
    <cellStyle name="40% - Accent4 20 2 2" xfId="1458"/>
    <cellStyle name="40% - Accent4 20 3" xfId="1153"/>
    <cellStyle name="40% - Accent4 21" xfId="346"/>
    <cellStyle name="40% - Accent4 21 2" xfId="666"/>
    <cellStyle name="40% - Accent4 21 2 2" xfId="1472"/>
    <cellStyle name="40% - Accent4 21 3" xfId="1167"/>
    <cellStyle name="40% - Accent4 22" xfId="360"/>
    <cellStyle name="40% - Accent4 22 2" xfId="1181"/>
    <cellStyle name="40% - Accent4 23" xfId="374"/>
    <cellStyle name="40% - Accent4 23 2" xfId="1195"/>
    <cellStyle name="40% - Accent4 24" xfId="415"/>
    <cellStyle name="40% - Accent4 25" xfId="680"/>
    <cellStyle name="40% - Accent4 25 2" xfId="1486"/>
    <cellStyle name="40% - Accent4 26" xfId="694"/>
    <cellStyle name="40% - Accent4 26 2" xfId="1500"/>
    <cellStyle name="40% - Accent4 27" xfId="708"/>
    <cellStyle name="40% - Accent4 27 2" xfId="1514"/>
    <cellStyle name="40% - Accent4 28" xfId="722"/>
    <cellStyle name="40% - Accent4 28 2" xfId="1528"/>
    <cellStyle name="40% - Accent4 29" xfId="736"/>
    <cellStyle name="40% - Accent4 29 2" xfId="1542"/>
    <cellStyle name="40% - Accent4 3" xfId="39"/>
    <cellStyle name="40% - Accent4 3 2" xfId="417"/>
    <cellStyle name="40% - Accent4 3 2 2" xfId="1228"/>
    <cellStyle name="40% - Accent4 3 3" xfId="923"/>
    <cellStyle name="40% - Accent4 30" xfId="750"/>
    <cellStyle name="40% - Accent4 30 2" xfId="1556"/>
    <cellStyle name="40% - Accent4 31" xfId="764"/>
    <cellStyle name="40% - Accent4 31 2" xfId="1570"/>
    <cellStyle name="40% - Accent4 32" xfId="778"/>
    <cellStyle name="40% - Accent4 32 2" xfId="1584"/>
    <cellStyle name="40% - Accent4 33" xfId="792"/>
    <cellStyle name="40% - Accent4 33 2" xfId="1598"/>
    <cellStyle name="40% - Accent4 34" xfId="806"/>
    <cellStyle name="40% - Accent4 34 2" xfId="1612"/>
    <cellStyle name="40% - Accent4 35" xfId="820"/>
    <cellStyle name="40% - Accent4 35 2" xfId="1626"/>
    <cellStyle name="40% - Accent4 36" xfId="834"/>
    <cellStyle name="40% - Accent4 36 2" xfId="1640"/>
    <cellStyle name="40% - Accent4 37" xfId="849"/>
    <cellStyle name="40% - Accent4 37 2" xfId="1655"/>
    <cellStyle name="40% - Accent4 38" xfId="862"/>
    <cellStyle name="40% - Accent4 38 2" xfId="1668"/>
    <cellStyle name="40% - Accent4 39" xfId="876"/>
    <cellStyle name="40% - Accent4 39 2" xfId="1682"/>
    <cellStyle name="40% - Accent4 4" xfId="40"/>
    <cellStyle name="40% - Accent4 4 2" xfId="418"/>
    <cellStyle name="40% - Accent4 4 2 2" xfId="1229"/>
    <cellStyle name="40% - Accent4 4 3" xfId="924"/>
    <cellStyle name="40% - Accent4 40" xfId="906"/>
    <cellStyle name="40% - Accent4 41" xfId="1696"/>
    <cellStyle name="40% - Accent4 42" xfId="1710"/>
    <cellStyle name="40% - Accent4 43" xfId="1724"/>
    <cellStyle name="40% - Accent4 44" xfId="1738"/>
    <cellStyle name="40% - Accent4 45" xfId="1753"/>
    <cellStyle name="40% - Accent4 46" xfId="1766"/>
    <cellStyle name="40% - Accent4 47" xfId="1780"/>
    <cellStyle name="40% - Accent4 48" xfId="1794"/>
    <cellStyle name="40% - Accent4 49" xfId="1808"/>
    <cellStyle name="40% - Accent4 5" xfId="122"/>
    <cellStyle name="40% - Accent4 5 2" xfId="441"/>
    <cellStyle name="40% - Accent4 5 2 2" xfId="1248"/>
    <cellStyle name="40% - Accent4 5 3" xfId="943"/>
    <cellStyle name="40% - Accent4 50" xfId="1822"/>
    <cellStyle name="40% - Accent4 6" xfId="136"/>
    <cellStyle name="40% - Accent4 6 2" xfId="455"/>
    <cellStyle name="40% - Accent4 6 2 2" xfId="1262"/>
    <cellStyle name="40% - Accent4 6 3" xfId="957"/>
    <cellStyle name="40% - Accent4 7" xfId="150"/>
    <cellStyle name="40% - Accent4 7 2" xfId="469"/>
    <cellStyle name="40% - Accent4 7 2 2" xfId="1276"/>
    <cellStyle name="40% - Accent4 7 3" xfId="971"/>
    <cellStyle name="40% - Accent4 8" xfId="164"/>
    <cellStyle name="40% - Accent4 8 2" xfId="483"/>
    <cellStyle name="40% - Accent4 8 2 2" xfId="1290"/>
    <cellStyle name="40% - Accent4 8 3" xfId="985"/>
    <cellStyle name="40% - Accent4 9" xfId="178"/>
    <cellStyle name="40% - Accent4 9 2" xfId="497"/>
    <cellStyle name="40% - Accent4 9 2 2" xfId="1304"/>
    <cellStyle name="40% - Accent4 9 3" xfId="999"/>
    <cellStyle name="40% - Accent5" xfId="41" builtinId="47" customBuiltin="1"/>
    <cellStyle name="40% - Accent5 10" xfId="194"/>
    <cellStyle name="40% - Accent5 10 2" xfId="513"/>
    <cellStyle name="40% - Accent5 10 2 2" xfId="1320"/>
    <cellStyle name="40% - Accent5 10 3" xfId="1015"/>
    <cellStyle name="40% - Accent5 11" xfId="208"/>
    <cellStyle name="40% - Accent5 11 2" xfId="527"/>
    <cellStyle name="40% - Accent5 11 2 2" xfId="1334"/>
    <cellStyle name="40% - Accent5 11 3" xfId="1029"/>
    <cellStyle name="40% - Accent5 12" xfId="222"/>
    <cellStyle name="40% - Accent5 12 2" xfId="541"/>
    <cellStyle name="40% - Accent5 12 2 2" xfId="1348"/>
    <cellStyle name="40% - Accent5 12 3" xfId="1043"/>
    <cellStyle name="40% - Accent5 13" xfId="236"/>
    <cellStyle name="40% - Accent5 13 2" xfId="556"/>
    <cellStyle name="40% - Accent5 13 2 2" xfId="1362"/>
    <cellStyle name="40% - Accent5 13 3" xfId="1057"/>
    <cellStyle name="40% - Accent5 14" xfId="250"/>
    <cellStyle name="40% - Accent5 14 2" xfId="570"/>
    <cellStyle name="40% - Accent5 14 2 2" xfId="1376"/>
    <cellStyle name="40% - Accent5 14 3" xfId="1071"/>
    <cellStyle name="40% - Accent5 15" xfId="264"/>
    <cellStyle name="40% - Accent5 15 2" xfId="584"/>
    <cellStyle name="40% - Accent5 15 2 2" xfId="1390"/>
    <cellStyle name="40% - Accent5 15 3" xfId="1085"/>
    <cellStyle name="40% - Accent5 16" xfId="278"/>
    <cellStyle name="40% - Accent5 16 2" xfId="598"/>
    <cellStyle name="40% - Accent5 16 2 2" xfId="1404"/>
    <cellStyle name="40% - Accent5 16 3" xfId="1099"/>
    <cellStyle name="40% - Accent5 17" xfId="292"/>
    <cellStyle name="40% - Accent5 17 2" xfId="612"/>
    <cellStyle name="40% - Accent5 17 2 2" xfId="1418"/>
    <cellStyle name="40% - Accent5 17 3" xfId="1113"/>
    <cellStyle name="40% - Accent5 18" xfId="306"/>
    <cellStyle name="40% - Accent5 18 2" xfId="626"/>
    <cellStyle name="40% - Accent5 18 2 2" xfId="1432"/>
    <cellStyle name="40% - Accent5 18 3" xfId="1127"/>
    <cellStyle name="40% - Accent5 19" xfId="320"/>
    <cellStyle name="40% - Accent5 19 2" xfId="640"/>
    <cellStyle name="40% - Accent5 19 2 2" xfId="1446"/>
    <cellStyle name="40% - Accent5 19 3" xfId="1141"/>
    <cellStyle name="40% - Accent5 2" xfId="42"/>
    <cellStyle name="40% - Accent5 2 2" xfId="420"/>
    <cellStyle name="40% - Accent5 2 2 2" xfId="1230"/>
    <cellStyle name="40% - Accent5 2 3" xfId="925"/>
    <cellStyle name="40% - Accent5 20" xfId="334"/>
    <cellStyle name="40% - Accent5 20 2" xfId="654"/>
    <cellStyle name="40% - Accent5 20 2 2" xfId="1460"/>
    <cellStyle name="40% - Accent5 20 3" xfId="1155"/>
    <cellStyle name="40% - Accent5 21" xfId="348"/>
    <cellStyle name="40% - Accent5 21 2" xfId="668"/>
    <cellStyle name="40% - Accent5 21 2 2" xfId="1474"/>
    <cellStyle name="40% - Accent5 21 3" xfId="1169"/>
    <cellStyle name="40% - Accent5 22" xfId="362"/>
    <cellStyle name="40% - Accent5 22 2" xfId="1183"/>
    <cellStyle name="40% - Accent5 23" xfId="376"/>
    <cellStyle name="40% - Accent5 23 2" xfId="1197"/>
    <cellStyle name="40% - Accent5 24" xfId="419"/>
    <cellStyle name="40% - Accent5 25" xfId="682"/>
    <cellStyle name="40% - Accent5 25 2" xfId="1488"/>
    <cellStyle name="40% - Accent5 26" xfId="696"/>
    <cellStyle name="40% - Accent5 26 2" xfId="1502"/>
    <cellStyle name="40% - Accent5 27" xfId="710"/>
    <cellStyle name="40% - Accent5 27 2" xfId="1516"/>
    <cellStyle name="40% - Accent5 28" xfId="724"/>
    <cellStyle name="40% - Accent5 28 2" xfId="1530"/>
    <cellStyle name="40% - Accent5 29" xfId="738"/>
    <cellStyle name="40% - Accent5 29 2" xfId="1544"/>
    <cellStyle name="40% - Accent5 3" xfId="43"/>
    <cellStyle name="40% - Accent5 3 2" xfId="421"/>
    <cellStyle name="40% - Accent5 3 2 2" xfId="1231"/>
    <cellStyle name="40% - Accent5 3 3" xfId="926"/>
    <cellStyle name="40% - Accent5 30" xfId="752"/>
    <cellStyle name="40% - Accent5 30 2" xfId="1558"/>
    <cellStyle name="40% - Accent5 31" xfId="766"/>
    <cellStyle name="40% - Accent5 31 2" xfId="1572"/>
    <cellStyle name="40% - Accent5 32" xfId="780"/>
    <cellStyle name="40% - Accent5 32 2" xfId="1586"/>
    <cellStyle name="40% - Accent5 33" xfId="794"/>
    <cellStyle name="40% - Accent5 33 2" xfId="1600"/>
    <cellStyle name="40% - Accent5 34" xfId="808"/>
    <cellStyle name="40% - Accent5 34 2" xfId="1614"/>
    <cellStyle name="40% - Accent5 35" xfId="822"/>
    <cellStyle name="40% - Accent5 35 2" xfId="1628"/>
    <cellStyle name="40% - Accent5 36" xfId="836"/>
    <cellStyle name="40% - Accent5 36 2" xfId="1642"/>
    <cellStyle name="40% - Accent5 37" xfId="850"/>
    <cellStyle name="40% - Accent5 37 2" xfId="1656"/>
    <cellStyle name="40% - Accent5 38" xfId="864"/>
    <cellStyle name="40% - Accent5 38 2" xfId="1670"/>
    <cellStyle name="40% - Accent5 39" xfId="878"/>
    <cellStyle name="40% - Accent5 39 2" xfId="1684"/>
    <cellStyle name="40% - Accent5 4" xfId="44"/>
    <cellStyle name="40% - Accent5 4 2" xfId="422"/>
    <cellStyle name="40% - Accent5 4 2 2" xfId="1232"/>
    <cellStyle name="40% - Accent5 4 3" xfId="927"/>
    <cellStyle name="40% - Accent5 40" xfId="909"/>
    <cellStyle name="40% - Accent5 41" xfId="1698"/>
    <cellStyle name="40% - Accent5 42" xfId="1712"/>
    <cellStyle name="40% - Accent5 43" xfId="1726"/>
    <cellStyle name="40% - Accent5 44" xfId="1740"/>
    <cellStyle name="40% - Accent5 45" xfId="1754"/>
    <cellStyle name="40% - Accent5 46" xfId="1768"/>
    <cellStyle name="40% - Accent5 47" xfId="1782"/>
    <cellStyle name="40% - Accent5 48" xfId="1796"/>
    <cellStyle name="40% - Accent5 49" xfId="1810"/>
    <cellStyle name="40% - Accent5 5" xfId="124"/>
    <cellStyle name="40% - Accent5 5 2" xfId="443"/>
    <cellStyle name="40% - Accent5 5 2 2" xfId="1250"/>
    <cellStyle name="40% - Accent5 5 3" xfId="945"/>
    <cellStyle name="40% - Accent5 50" xfId="1824"/>
    <cellStyle name="40% - Accent5 6" xfId="138"/>
    <cellStyle name="40% - Accent5 6 2" xfId="457"/>
    <cellStyle name="40% - Accent5 6 2 2" xfId="1264"/>
    <cellStyle name="40% - Accent5 6 3" xfId="959"/>
    <cellStyle name="40% - Accent5 7" xfId="152"/>
    <cellStyle name="40% - Accent5 7 2" xfId="471"/>
    <cellStyle name="40% - Accent5 7 2 2" xfId="1278"/>
    <cellStyle name="40% - Accent5 7 3" xfId="973"/>
    <cellStyle name="40% - Accent5 8" xfId="166"/>
    <cellStyle name="40% - Accent5 8 2" xfId="485"/>
    <cellStyle name="40% - Accent5 8 2 2" xfId="1292"/>
    <cellStyle name="40% - Accent5 8 3" xfId="987"/>
    <cellStyle name="40% - Accent5 9" xfId="180"/>
    <cellStyle name="40% - Accent5 9 2" xfId="499"/>
    <cellStyle name="40% - Accent5 9 2 2" xfId="1306"/>
    <cellStyle name="40% - Accent5 9 3" xfId="1001"/>
    <cellStyle name="40% - Accent6" xfId="45" builtinId="51" customBuiltin="1"/>
    <cellStyle name="40% - Accent6 10" xfId="196"/>
    <cellStyle name="40% - Accent6 10 2" xfId="515"/>
    <cellStyle name="40% - Accent6 10 2 2" xfId="1322"/>
    <cellStyle name="40% - Accent6 10 3" xfId="1017"/>
    <cellStyle name="40% - Accent6 11" xfId="210"/>
    <cellStyle name="40% - Accent6 11 2" xfId="529"/>
    <cellStyle name="40% - Accent6 11 2 2" xfId="1336"/>
    <cellStyle name="40% - Accent6 11 3" xfId="1031"/>
    <cellStyle name="40% - Accent6 12" xfId="224"/>
    <cellStyle name="40% - Accent6 12 2" xfId="543"/>
    <cellStyle name="40% - Accent6 12 2 2" xfId="1350"/>
    <cellStyle name="40% - Accent6 12 3" xfId="1045"/>
    <cellStyle name="40% - Accent6 13" xfId="238"/>
    <cellStyle name="40% - Accent6 13 2" xfId="558"/>
    <cellStyle name="40% - Accent6 13 2 2" xfId="1364"/>
    <cellStyle name="40% - Accent6 13 3" xfId="1059"/>
    <cellStyle name="40% - Accent6 14" xfId="252"/>
    <cellStyle name="40% - Accent6 14 2" xfId="572"/>
    <cellStyle name="40% - Accent6 14 2 2" xfId="1378"/>
    <cellStyle name="40% - Accent6 14 3" xfId="1073"/>
    <cellStyle name="40% - Accent6 15" xfId="266"/>
    <cellStyle name="40% - Accent6 15 2" xfId="586"/>
    <cellStyle name="40% - Accent6 15 2 2" xfId="1392"/>
    <cellStyle name="40% - Accent6 15 3" xfId="1087"/>
    <cellStyle name="40% - Accent6 16" xfId="280"/>
    <cellStyle name="40% - Accent6 16 2" xfId="600"/>
    <cellStyle name="40% - Accent6 16 2 2" xfId="1406"/>
    <cellStyle name="40% - Accent6 16 3" xfId="1101"/>
    <cellStyle name="40% - Accent6 17" xfId="294"/>
    <cellStyle name="40% - Accent6 17 2" xfId="614"/>
    <cellStyle name="40% - Accent6 17 2 2" xfId="1420"/>
    <cellStyle name="40% - Accent6 17 3" xfId="1115"/>
    <cellStyle name="40% - Accent6 18" xfId="308"/>
    <cellStyle name="40% - Accent6 18 2" xfId="628"/>
    <cellStyle name="40% - Accent6 18 2 2" xfId="1434"/>
    <cellStyle name="40% - Accent6 18 3" xfId="1129"/>
    <cellStyle name="40% - Accent6 19" xfId="322"/>
    <cellStyle name="40% - Accent6 19 2" xfId="642"/>
    <cellStyle name="40% - Accent6 19 2 2" xfId="1448"/>
    <cellStyle name="40% - Accent6 19 3" xfId="1143"/>
    <cellStyle name="40% - Accent6 2" xfId="46"/>
    <cellStyle name="40% - Accent6 2 2" xfId="424"/>
    <cellStyle name="40% - Accent6 2 2 2" xfId="1233"/>
    <cellStyle name="40% - Accent6 2 3" xfId="928"/>
    <cellStyle name="40% - Accent6 20" xfId="336"/>
    <cellStyle name="40% - Accent6 20 2" xfId="656"/>
    <cellStyle name="40% - Accent6 20 2 2" xfId="1462"/>
    <cellStyle name="40% - Accent6 20 3" xfId="1157"/>
    <cellStyle name="40% - Accent6 21" xfId="350"/>
    <cellStyle name="40% - Accent6 21 2" xfId="670"/>
    <cellStyle name="40% - Accent6 21 2 2" xfId="1476"/>
    <cellStyle name="40% - Accent6 21 3" xfId="1171"/>
    <cellStyle name="40% - Accent6 22" xfId="364"/>
    <cellStyle name="40% - Accent6 22 2" xfId="1185"/>
    <cellStyle name="40% - Accent6 23" xfId="378"/>
    <cellStyle name="40% - Accent6 23 2" xfId="1199"/>
    <cellStyle name="40% - Accent6 24" xfId="423"/>
    <cellStyle name="40% - Accent6 25" xfId="684"/>
    <cellStyle name="40% - Accent6 25 2" xfId="1490"/>
    <cellStyle name="40% - Accent6 26" xfId="698"/>
    <cellStyle name="40% - Accent6 26 2" xfId="1504"/>
    <cellStyle name="40% - Accent6 27" xfId="712"/>
    <cellStyle name="40% - Accent6 27 2" xfId="1518"/>
    <cellStyle name="40% - Accent6 28" xfId="726"/>
    <cellStyle name="40% - Accent6 28 2" xfId="1532"/>
    <cellStyle name="40% - Accent6 29" xfId="740"/>
    <cellStyle name="40% - Accent6 29 2" xfId="1546"/>
    <cellStyle name="40% - Accent6 3" xfId="47"/>
    <cellStyle name="40% - Accent6 3 2" xfId="425"/>
    <cellStyle name="40% - Accent6 3 2 2" xfId="1234"/>
    <cellStyle name="40% - Accent6 3 3" xfId="929"/>
    <cellStyle name="40% - Accent6 30" xfId="754"/>
    <cellStyle name="40% - Accent6 30 2" xfId="1560"/>
    <cellStyle name="40% - Accent6 31" xfId="768"/>
    <cellStyle name="40% - Accent6 31 2" xfId="1574"/>
    <cellStyle name="40% - Accent6 32" xfId="782"/>
    <cellStyle name="40% - Accent6 32 2" xfId="1588"/>
    <cellStyle name="40% - Accent6 33" xfId="796"/>
    <cellStyle name="40% - Accent6 33 2" xfId="1602"/>
    <cellStyle name="40% - Accent6 34" xfId="810"/>
    <cellStyle name="40% - Accent6 34 2" xfId="1616"/>
    <cellStyle name="40% - Accent6 35" xfId="824"/>
    <cellStyle name="40% - Accent6 35 2" xfId="1630"/>
    <cellStyle name="40% - Accent6 36" xfId="838"/>
    <cellStyle name="40% - Accent6 36 2" xfId="1644"/>
    <cellStyle name="40% - Accent6 37" xfId="851"/>
    <cellStyle name="40% - Accent6 37 2" xfId="1657"/>
    <cellStyle name="40% - Accent6 38" xfId="866"/>
    <cellStyle name="40% - Accent6 38 2" xfId="1672"/>
    <cellStyle name="40% - Accent6 39" xfId="880"/>
    <cellStyle name="40% - Accent6 39 2" xfId="1686"/>
    <cellStyle name="40% - Accent6 4" xfId="48"/>
    <cellStyle name="40% - Accent6 4 2" xfId="426"/>
    <cellStyle name="40% - Accent6 4 2 2" xfId="1235"/>
    <cellStyle name="40% - Accent6 4 3" xfId="930"/>
    <cellStyle name="40% - Accent6 40" xfId="913"/>
    <cellStyle name="40% - Accent6 41" xfId="1700"/>
    <cellStyle name="40% - Accent6 42" xfId="1714"/>
    <cellStyle name="40% - Accent6 43" xfId="1728"/>
    <cellStyle name="40% - Accent6 44" xfId="1742"/>
    <cellStyle name="40% - Accent6 45" xfId="1755"/>
    <cellStyle name="40% - Accent6 46" xfId="1770"/>
    <cellStyle name="40% - Accent6 47" xfId="1784"/>
    <cellStyle name="40% - Accent6 48" xfId="1798"/>
    <cellStyle name="40% - Accent6 49" xfId="1812"/>
    <cellStyle name="40% - Accent6 5" xfId="126"/>
    <cellStyle name="40% - Accent6 5 2" xfId="445"/>
    <cellStyle name="40% - Accent6 5 2 2" xfId="1252"/>
    <cellStyle name="40% - Accent6 5 3" xfId="947"/>
    <cellStyle name="40% - Accent6 50" xfId="1826"/>
    <cellStyle name="40% - Accent6 6" xfId="140"/>
    <cellStyle name="40% - Accent6 6 2" xfId="459"/>
    <cellStyle name="40% - Accent6 6 2 2" xfId="1266"/>
    <cellStyle name="40% - Accent6 6 3" xfId="961"/>
    <cellStyle name="40% - Accent6 7" xfId="154"/>
    <cellStyle name="40% - Accent6 7 2" xfId="473"/>
    <cellStyle name="40% - Accent6 7 2 2" xfId="1280"/>
    <cellStyle name="40% - Accent6 7 3" xfId="975"/>
    <cellStyle name="40% - Accent6 8" xfId="168"/>
    <cellStyle name="40% - Accent6 8 2" xfId="487"/>
    <cellStyle name="40% - Accent6 8 2 2" xfId="1294"/>
    <cellStyle name="40% - Accent6 8 3" xfId="989"/>
    <cellStyle name="40% - Accent6 9" xfId="182"/>
    <cellStyle name="40% - Accent6 9 2" xfId="501"/>
    <cellStyle name="40% - Accent6 9 2 2" xfId="1308"/>
    <cellStyle name="40% - Accent6 9 3" xfId="1003"/>
    <cellStyle name="60% - Accent1" xfId="49" builtinId="32" customBuiltin="1"/>
    <cellStyle name="60% - Accent1 2" xfId="50"/>
    <cellStyle name="60% - Accent2" xfId="51" builtinId="36" customBuiltin="1"/>
    <cellStyle name="60% - Accent2 2" xfId="52"/>
    <cellStyle name="60% - Accent3" xfId="53" builtinId="40" customBuiltin="1"/>
    <cellStyle name="60% - Accent3 2" xfId="54"/>
    <cellStyle name="60% - Accent4" xfId="55" builtinId="44" customBuiltin="1"/>
    <cellStyle name="60% - Accent4 2" xfId="56"/>
    <cellStyle name="60% - Accent5" xfId="57" builtinId="48" customBuiltin="1"/>
    <cellStyle name="60% - Accent5 2" xfId="58"/>
    <cellStyle name="60% - Accent6" xfId="59" builtinId="52" customBuiltin="1"/>
    <cellStyle name="60% - Accent6 2" xfId="60"/>
    <cellStyle name="Accent1" xfId="61" builtinId="29" customBuiltin="1"/>
    <cellStyle name="Accent1 2" xfId="62"/>
    <cellStyle name="Accent2" xfId="63" builtinId="33" customBuiltin="1"/>
    <cellStyle name="Accent2 2" xfId="64"/>
    <cellStyle name="Accent3" xfId="65" builtinId="37" customBuiltin="1"/>
    <cellStyle name="Accent3 2" xfId="66"/>
    <cellStyle name="Accent4" xfId="67" builtinId="41" customBuiltin="1"/>
    <cellStyle name="Accent4 2" xfId="68"/>
    <cellStyle name="Accent5" xfId="69" builtinId="45" customBuiltin="1"/>
    <cellStyle name="Accent5 2" xfId="70"/>
    <cellStyle name="Accent6" xfId="71" builtinId="49" customBuiltin="1"/>
    <cellStyle name="Accent6 2" xfId="72"/>
    <cellStyle name="Bad" xfId="73" builtinId="27" customBuiltin="1"/>
    <cellStyle name="Bad 2" xfId="74"/>
    <cellStyle name="Calculation" xfId="75" builtinId="22" customBuiltin="1"/>
    <cellStyle name="Calculation 2" xfId="76"/>
    <cellStyle name="Check Cell" xfId="77" builtinId="23" customBuiltin="1"/>
    <cellStyle name="Check Cell 2" xfId="78"/>
    <cellStyle name="Comma 2" xfId="544"/>
    <cellStyle name="Explanatory Text" xfId="79" builtinId="53" customBuiltin="1"/>
    <cellStyle name="Explanatory Text 2" xfId="80"/>
    <cellStyle name="Good" xfId="81" builtinId="26" customBuiltin="1"/>
    <cellStyle name="Good 2" xfId="82"/>
    <cellStyle name="Heading 1" xfId="83" builtinId="16" customBuiltin="1"/>
    <cellStyle name="Heading 1 2" xfId="84"/>
    <cellStyle name="Heading 2" xfId="85" builtinId="17" customBuiltin="1"/>
    <cellStyle name="Heading 2 2" xfId="86"/>
    <cellStyle name="Heading 3" xfId="87" builtinId="18" customBuiltin="1"/>
    <cellStyle name="Heading 3 2" xfId="88"/>
    <cellStyle name="Heading 4" xfId="89" builtinId="19" customBuiltin="1"/>
    <cellStyle name="Heading 4 2" xfId="90"/>
    <cellStyle name="Input" xfId="91" builtinId="20" customBuiltin="1"/>
    <cellStyle name="Input 2" xfId="92"/>
    <cellStyle name="Linked Cell" xfId="93" builtinId="24" customBuiltin="1"/>
    <cellStyle name="Linked Cell 2" xfId="94"/>
    <cellStyle name="Neutral" xfId="95" builtinId="28" customBuiltin="1"/>
    <cellStyle name="Neutral 2" xfId="96"/>
    <cellStyle name="Normal" xfId="0" builtinId="0"/>
    <cellStyle name="Normal 10" xfId="183"/>
    <cellStyle name="Normal 10 2" xfId="502"/>
    <cellStyle name="Normal 10 2 2" xfId="1309"/>
    <cellStyle name="Normal 10 3" xfId="1004"/>
    <cellStyle name="Normal 11" xfId="197"/>
    <cellStyle name="Normal 11 2" xfId="516"/>
    <cellStyle name="Normal 11 2 2" xfId="1323"/>
    <cellStyle name="Normal 11 3" xfId="1018"/>
    <cellStyle name="Normal 12" xfId="211"/>
    <cellStyle name="Normal 12 2" xfId="530"/>
    <cellStyle name="Normal 12 2 2" xfId="1337"/>
    <cellStyle name="Normal 12 3" xfId="1032"/>
    <cellStyle name="Normal 13" xfId="225"/>
    <cellStyle name="Normal 13 2" xfId="545"/>
    <cellStyle name="Normal 13 2 2" xfId="1351"/>
    <cellStyle name="Normal 13 3" xfId="1046"/>
    <cellStyle name="Normal 14" xfId="239"/>
    <cellStyle name="Normal 14 2" xfId="559"/>
    <cellStyle name="Normal 14 2 2" xfId="1365"/>
    <cellStyle name="Normal 14 3" xfId="1060"/>
    <cellStyle name="Normal 15" xfId="253"/>
    <cellStyle name="Normal 15 2" xfId="573"/>
    <cellStyle name="Normal 15 2 2" xfId="1379"/>
    <cellStyle name="Normal 15 3" xfId="1074"/>
    <cellStyle name="Normal 16" xfId="267"/>
    <cellStyle name="Normal 16 2" xfId="587"/>
    <cellStyle name="Normal 16 2 2" xfId="1393"/>
    <cellStyle name="Normal 16 3" xfId="1088"/>
    <cellStyle name="Normal 17" xfId="281"/>
    <cellStyle name="Normal 17 2" xfId="601"/>
    <cellStyle name="Normal 17 2 2" xfId="1407"/>
    <cellStyle name="Normal 17 3" xfId="1102"/>
    <cellStyle name="Normal 18" xfId="295"/>
    <cellStyle name="Normal 18 2" xfId="615"/>
    <cellStyle name="Normal 18 2 2" xfId="1421"/>
    <cellStyle name="Normal 18 3" xfId="1116"/>
    <cellStyle name="Normal 19" xfId="309"/>
    <cellStyle name="Normal 19 2" xfId="629"/>
    <cellStyle name="Normal 19 2 2" xfId="1435"/>
    <cellStyle name="Normal 19 3" xfId="1130"/>
    <cellStyle name="Normal 2" xfId="97"/>
    <cellStyle name="Normal 2 2" xfId="427"/>
    <cellStyle name="Normal 2 2 2" xfId="1236"/>
    <cellStyle name="Normal 2 3" xfId="931"/>
    <cellStyle name="Normal 20" xfId="323"/>
    <cellStyle name="Normal 20 2" xfId="643"/>
    <cellStyle name="Normal 20 2 2" xfId="1449"/>
    <cellStyle name="Normal 20 3" xfId="1144"/>
    <cellStyle name="Normal 21" xfId="337"/>
    <cellStyle name="Normal 21 2" xfId="657"/>
    <cellStyle name="Normal 21 2 2" xfId="1463"/>
    <cellStyle name="Normal 21 3" xfId="1158"/>
    <cellStyle name="Normal 22" xfId="351"/>
    <cellStyle name="Normal 22 2" xfId="1172"/>
    <cellStyle name="Normal 23" xfId="365"/>
    <cellStyle name="Normal 23 2" xfId="1186"/>
    <cellStyle name="Normal 24" xfId="671"/>
    <cellStyle name="Normal 24 2" xfId="1477"/>
    <cellStyle name="Normal 25" xfId="685"/>
    <cellStyle name="Normal 25 2" xfId="1491"/>
    <cellStyle name="Normal 26" xfId="699"/>
    <cellStyle name="Normal 26 2" xfId="1505"/>
    <cellStyle name="Normal 27" xfId="713"/>
    <cellStyle name="Normal 27 2" xfId="1519"/>
    <cellStyle name="Normal 28" xfId="727"/>
    <cellStyle name="Normal 28 2" xfId="1533"/>
    <cellStyle name="Normal 29" xfId="741"/>
    <cellStyle name="Normal 29 2" xfId="1547"/>
    <cellStyle name="Normal 3" xfId="98"/>
    <cellStyle name="Normal 3 2" xfId="428"/>
    <cellStyle name="Normal 3 2 2" xfId="1237"/>
    <cellStyle name="Normal 3 3" xfId="932"/>
    <cellStyle name="Normal 30" xfId="755"/>
    <cellStyle name="Normal 30 2" xfId="1561"/>
    <cellStyle name="Normal 31" xfId="769"/>
    <cellStyle name="Normal 31 2" xfId="1575"/>
    <cellStyle name="Normal 32" xfId="783"/>
    <cellStyle name="Normal 32 2" xfId="1589"/>
    <cellStyle name="Normal 33" xfId="797"/>
    <cellStyle name="Normal 33 2" xfId="1603"/>
    <cellStyle name="Normal 34" xfId="811"/>
    <cellStyle name="Normal 34 2" xfId="1617"/>
    <cellStyle name="Normal 35" xfId="825"/>
    <cellStyle name="Normal 35 2" xfId="1631"/>
    <cellStyle name="Normal 36" xfId="839"/>
    <cellStyle name="Normal 36 2" xfId="1645"/>
    <cellStyle name="Normal 37" xfId="853"/>
    <cellStyle name="Normal 37 2" xfId="1659"/>
    <cellStyle name="Normal 38" xfId="867"/>
    <cellStyle name="Normal 38 2" xfId="1673"/>
    <cellStyle name="Normal 39" xfId="881"/>
    <cellStyle name="Normal 4" xfId="99"/>
    <cellStyle name="Normal 4 2" xfId="429"/>
    <cellStyle name="Normal 4 2 2" xfId="1238"/>
    <cellStyle name="Normal 4 3" xfId="933"/>
    <cellStyle name="Normal 40" xfId="1687"/>
    <cellStyle name="Normal 41" xfId="1701"/>
    <cellStyle name="Normal 42" xfId="1715"/>
    <cellStyle name="Normal 43" xfId="1729"/>
    <cellStyle name="Normal 44" xfId="1743"/>
    <cellStyle name="Normal 45" xfId="1757"/>
    <cellStyle name="Normal 46" xfId="1771"/>
    <cellStyle name="Normal 47" xfId="1785"/>
    <cellStyle name="Normal 48" xfId="1799"/>
    <cellStyle name="Normal 49" xfId="1813"/>
    <cellStyle name="Normal 5" xfId="113"/>
    <cellStyle name="Normal 5 2" xfId="432"/>
    <cellStyle name="Normal 5 2 2" xfId="1239"/>
    <cellStyle name="Normal 5 3" xfId="934"/>
    <cellStyle name="Normal 6" xfId="127"/>
    <cellStyle name="Normal 6 2" xfId="446"/>
    <cellStyle name="Normal 6 2 2" xfId="1253"/>
    <cellStyle name="Normal 6 3" xfId="948"/>
    <cellStyle name="Normal 7" xfId="141"/>
    <cellStyle name="Normal 7 2" xfId="460"/>
    <cellStyle name="Normal 7 2 2" xfId="1267"/>
    <cellStyle name="Normal 7 3" xfId="962"/>
    <cellStyle name="Normal 8" xfId="155"/>
    <cellStyle name="Normal 8 2" xfId="474"/>
    <cellStyle name="Normal 8 2 2" xfId="1281"/>
    <cellStyle name="Normal 8 3" xfId="976"/>
    <cellStyle name="Normal 9" xfId="169"/>
    <cellStyle name="Normal 9 2" xfId="488"/>
    <cellStyle name="Normal 9 2 2" xfId="1295"/>
    <cellStyle name="Normal 9 3" xfId="990"/>
    <cellStyle name="Note" xfId="100" builtinId="10" customBuiltin="1"/>
    <cellStyle name="Note 10" xfId="184"/>
    <cellStyle name="Note 10 2" xfId="503"/>
    <cellStyle name="Note 10 2 2" xfId="1310"/>
    <cellStyle name="Note 10 3" xfId="1005"/>
    <cellStyle name="Note 11" xfId="198"/>
    <cellStyle name="Note 11 2" xfId="517"/>
    <cellStyle name="Note 11 2 2" xfId="1324"/>
    <cellStyle name="Note 11 3" xfId="1019"/>
    <cellStyle name="Note 12" xfId="212"/>
    <cellStyle name="Note 12 2" xfId="531"/>
    <cellStyle name="Note 12 2 2" xfId="1338"/>
    <cellStyle name="Note 12 3" xfId="1033"/>
    <cellStyle name="Note 13" xfId="226"/>
    <cellStyle name="Note 13 2" xfId="546"/>
    <cellStyle name="Note 13 2 2" xfId="1352"/>
    <cellStyle name="Note 13 3" xfId="1047"/>
    <cellStyle name="Note 14" xfId="240"/>
    <cellStyle name="Note 14 2" xfId="560"/>
    <cellStyle name="Note 14 2 2" xfId="1366"/>
    <cellStyle name="Note 14 3" xfId="1061"/>
    <cellStyle name="Note 15" xfId="254"/>
    <cellStyle name="Note 15 2" xfId="574"/>
    <cellStyle name="Note 15 2 2" xfId="1380"/>
    <cellStyle name="Note 15 3" xfId="1075"/>
    <cellStyle name="Note 16" xfId="268"/>
    <cellStyle name="Note 16 2" xfId="588"/>
    <cellStyle name="Note 16 2 2" xfId="1394"/>
    <cellStyle name="Note 16 3" xfId="1089"/>
    <cellStyle name="Note 17" xfId="282"/>
    <cellStyle name="Note 17 2" xfId="602"/>
    <cellStyle name="Note 17 2 2" xfId="1408"/>
    <cellStyle name="Note 17 3" xfId="1103"/>
    <cellStyle name="Note 18" xfId="296"/>
    <cellStyle name="Note 18 2" xfId="616"/>
    <cellStyle name="Note 18 2 2" xfId="1422"/>
    <cellStyle name="Note 18 3" xfId="1117"/>
    <cellStyle name="Note 19" xfId="310"/>
    <cellStyle name="Note 19 2" xfId="630"/>
    <cellStyle name="Note 19 2 2" xfId="1436"/>
    <cellStyle name="Note 19 3" xfId="1131"/>
    <cellStyle name="Note 2" xfId="101"/>
    <cellStyle name="Note 2 2" xfId="430"/>
    <cellStyle name="Note 20" xfId="324"/>
    <cellStyle name="Note 20 2" xfId="644"/>
    <cellStyle name="Note 20 2 2" xfId="1450"/>
    <cellStyle name="Note 20 3" xfId="1145"/>
    <cellStyle name="Note 21" xfId="338"/>
    <cellStyle name="Note 21 2" xfId="658"/>
    <cellStyle name="Note 21 2 2" xfId="1464"/>
    <cellStyle name="Note 21 3" xfId="1159"/>
    <cellStyle name="Note 22" xfId="352"/>
    <cellStyle name="Note 22 2" xfId="1173"/>
    <cellStyle name="Note 23" xfId="366"/>
    <cellStyle name="Note 23 2" xfId="1187"/>
    <cellStyle name="Note 24" xfId="672"/>
    <cellStyle name="Note 24 2" xfId="1478"/>
    <cellStyle name="Note 25" xfId="686"/>
    <cellStyle name="Note 25 2" xfId="1492"/>
    <cellStyle name="Note 26" xfId="700"/>
    <cellStyle name="Note 26 2" xfId="1506"/>
    <cellStyle name="Note 27" xfId="714"/>
    <cellStyle name="Note 27 2" xfId="1520"/>
    <cellStyle name="Note 28" xfId="728"/>
    <cellStyle name="Note 28 2" xfId="1534"/>
    <cellStyle name="Note 29" xfId="742"/>
    <cellStyle name="Note 29 2" xfId="1548"/>
    <cellStyle name="Note 3" xfId="102"/>
    <cellStyle name="Note 3 2" xfId="431"/>
    <cellStyle name="Note 30" xfId="756"/>
    <cellStyle name="Note 30 2" xfId="1562"/>
    <cellStyle name="Note 31" xfId="770"/>
    <cellStyle name="Note 31 2" xfId="1576"/>
    <cellStyle name="Note 32" xfId="784"/>
    <cellStyle name="Note 32 2" xfId="1590"/>
    <cellStyle name="Note 33" xfId="798"/>
    <cellStyle name="Note 33 2" xfId="1604"/>
    <cellStyle name="Note 34" xfId="812"/>
    <cellStyle name="Note 34 2" xfId="1618"/>
    <cellStyle name="Note 35" xfId="826"/>
    <cellStyle name="Note 35 2" xfId="1632"/>
    <cellStyle name="Note 36" xfId="852"/>
    <cellStyle name="Note 36 2" xfId="1658"/>
    <cellStyle name="Note 37" xfId="854"/>
    <cellStyle name="Note 37 2" xfId="1660"/>
    <cellStyle name="Note 38" xfId="868"/>
    <cellStyle name="Note 38 2" xfId="1674"/>
    <cellStyle name="Note 39" xfId="892"/>
    <cellStyle name="Note 4" xfId="103"/>
    <cellStyle name="Note 40" xfId="1688"/>
    <cellStyle name="Note 41" xfId="1702"/>
    <cellStyle name="Note 42" xfId="1716"/>
    <cellStyle name="Note 43" xfId="1730"/>
    <cellStyle name="Note 44" xfId="1756"/>
    <cellStyle name="Note 45" xfId="1758"/>
    <cellStyle name="Note 46" xfId="1772"/>
    <cellStyle name="Note 47" xfId="1786"/>
    <cellStyle name="Note 48" xfId="1800"/>
    <cellStyle name="Note 49" xfId="1814"/>
    <cellStyle name="Note 5" xfId="114"/>
    <cellStyle name="Note 5 2" xfId="433"/>
    <cellStyle name="Note 5 2 2" xfId="1240"/>
    <cellStyle name="Note 5 3" xfId="935"/>
    <cellStyle name="Note 6" xfId="128"/>
    <cellStyle name="Note 6 2" xfId="447"/>
    <cellStyle name="Note 6 2 2" xfId="1254"/>
    <cellStyle name="Note 6 3" xfId="949"/>
    <cellStyle name="Note 7" xfId="142"/>
    <cellStyle name="Note 7 2" xfId="461"/>
    <cellStyle name="Note 7 2 2" xfId="1268"/>
    <cellStyle name="Note 7 3" xfId="963"/>
    <cellStyle name="Note 8" xfId="156"/>
    <cellStyle name="Note 8 2" xfId="475"/>
    <cellStyle name="Note 8 2 2" xfId="1282"/>
    <cellStyle name="Note 8 3" xfId="977"/>
    <cellStyle name="Note 9" xfId="170"/>
    <cellStyle name="Note 9 2" xfId="489"/>
    <cellStyle name="Note 9 2 2" xfId="1296"/>
    <cellStyle name="Note 9 3" xfId="991"/>
    <cellStyle name="Output" xfId="104" builtinId="21" customBuiltin="1"/>
    <cellStyle name="Output 2" xfId="105"/>
    <cellStyle name="Percent_Sheet1" xfId="106"/>
    <cellStyle name="Title" xfId="107" builtinId="15" customBuiltin="1"/>
    <cellStyle name="Title 2" xfId="108"/>
    <cellStyle name="Total" xfId="109" builtinId="25" customBuiltin="1"/>
    <cellStyle name="Total 2" xfId="110"/>
    <cellStyle name="Warning Text" xfId="111" builtinId="11" customBuiltin="1"/>
    <cellStyle name="Warning Text 2" xfId="112"/>
  </cellStyles>
  <dxfs count="6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6</xdr:col>
      <xdr:colOff>2274794</xdr:colOff>
      <xdr:row>5</xdr:row>
      <xdr:rowOff>11206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525"/>
          <a:ext cx="10421470" cy="942975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34"/>
  <sheetViews>
    <sheetView tabSelected="1" zoomScale="85" zoomScaleNormal="85" workbookViewId="0">
      <pane ySplit="7" topLeftCell="A8" activePane="bottomLeft" state="frozen"/>
      <selection pane="bottomLeft" activeCell="F12" sqref="F12"/>
    </sheetView>
  </sheetViews>
  <sheetFormatPr defaultRowHeight="15" x14ac:dyDescent="0.3"/>
  <cols>
    <col min="1" max="1" width="14.42578125" style="5" customWidth="1"/>
    <col min="2" max="2" width="15" style="5" customWidth="1"/>
    <col min="3" max="3" width="23" style="6" customWidth="1"/>
    <col min="4" max="4" width="25.28515625" style="5" bestFit="1" customWidth="1"/>
    <col min="5" max="5" width="17.5703125" style="5" customWidth="1"/>
    <col min="6" max="6" width="26.85546875" style="5" bestFit="1" customWidth="1"/>
    <col min="7" max="7" width="34.28515625" style="7" customWidth="1"/>
    <col min="8" max="8" width="14.42578125" style="36" bestFit="1" customWidth="1"/>
    <col min="9" max="9" width="27" style="5" bestFit="1" customWidth="1"/>
    <col min="10" max="16384" width="9.140625" style="5"/>
  </cols>
  <sheetData>
    <row r="1" spans="1:19" ht="15.75" thickBot="1" x14ac:dyDescent="0.35">
      <c r="A1" s="1"/>
      <c r="B1" s="1"/>
      <c r="C1" s="2"/>
      <c r="D1" s="1"/>
      <c r="E1" s="1"/>
      <c r="F1" s="1"/>
      <c r="G1" s="3"/>
      <c r="I1" s="4"/>
      <c r="J1" s="4"/>
    </row>
    <row r="2" spans="1:19" ht="15.75" thickBot="1" x14ac:dyDescent="0.35">
      <c r="A2" s="1"/>
      <c r="B2" s="1"/>
      <c r="C2" s="2"/>
      <c r="D2" s="1"/>
      <c r="E2" s="1"/>
      <c r="F2" s="1"/>
      <c r="G2" s="3"/>
      <c r="I2" s="4"/>
      <c r="J2" s="4"/>
    </row>
    <row r="3" spans="1:19" ht="15.75" thickBot="1" x14ac:dyDescent="0.35">
      <c r="A3" s="1"/>
      <c r="B3" s="1"/>
      <c r="C3" s="2"/>
      <c r="D3" s="1"/>
      <c r="E3" s="1"/>
      <c r="F3" s="1"/>
      <c r="G3" s="3"/>
      <c r="I3" s="4"/>
      <c r="J3" s="4"/>
    </row>
    <row r="4" spans="1:19" ht="15.75" thickBot="1" x14ac:dyDescent="0.35">
      <c r="A4" s="8"/>
      <c r="B4" s="8"/>
      <c r="C4" s="9"/>
      <c r="D4" s="8"/>
      <c r="E4" s="8"/>
      <c r="F4" s="8"/>
      <c r="G4" s="10"/>
      <c r="I4" s="4"/>
      <c r="J4" s="4"/>
    </row>
    <row r="5" spans="1:19" ht="10.5" customHeight="1" thickBot="1" x14ac:dyDescent="0.35">
      <c r="A5" s="78"/>
      <c r="B5" s="79"/>
      <c r="C5" s="80"/>
      <c r="D5" s="79"/>
      <c r="E5" s="79"/>
      <c r="F5" s="79"/>
      <c r="G5" s="81"/>
      <c r="I5" s="4"/>
      <c r="J5" s="4"/>
    </row>
    <row r="6" spans="1:19" s="12" customFormat="1" ht="15.75" x14ac:dyDescent="0.25">
      <c r="A6" s="124" t="s">
        <v>14</v>
      </c>
      <c r="B6" s="125"/>
      <c r="C6" s="119" t="s">
        <v>12</v>
      </c>
      <c r="D6" s="103" t="s">
        <v>13</v>
      </c>
      <c r="E6" s="103">
        <v>42202</v>
      </c>
      <c r="F6" s="104"/>
      <c r="G6" s="105"/>
      <c r="H6" s="60"/>
      <c r="I6" s="11"/>
      <c r="J6" s="11"/>
    </row>
    <row r="7" spans="1:19" s="13" customFormat="1" ht="15.75" x14ac:dyDescent="0.25">
      <c r="A7" s="120" t="s">
        <v>8</v>
      </c>
      <c r="B7" s="121" t="s">
        <v>9</v>
      </c>
      <c r="C7" s="121" t="s">
        <v>10</v>
      </c>
      <c r="D7" s="121"/>
      <c r="E7" s="90"/>
      <c r="F7" s="91"/>
      <c r="G7" s="106"/>
      <c r="H7" s="53"/>
      <c r="I7" s="11"/>
      <c r="J7" s="11"/>
    </row>
    <row r="8" spans="1:19" s="13" customFormat="1" ht="15.75" x14ac:dyDescent="0.25">
      <c r="A8" s="107">
        <v>1</v>
      </c>
      <c r="B8" s="92" t="s">
        <v>17</v>
      </c>
      <c r="C8" s="93">
        <v>20</v>
      </c>
      <c r="D8" s="93">
        <v>13</v>
      </c>
      <c r="E8" s="93"/>
      <c r="F8" s="94"/>
      <c r="G8" s="108"/>
      <c r="H8" s="53"/>
    </row>
    <row r="9" spans="1:19" s="13" customFormat="1" ht="15.75" x14ac:dyDescent="0.25">
      <c r="A9" s="107">
        <v>2</v>
      </c>
      <c r="B9" s="92" t="s">
        <v>40</v>
      </c>
      <c r="C9" s="93">
        <v>16</v>
      </c>
      <c r="D9" s="93">
        <v>19</v>
      </c>
      <c r="E9" s="93"/>
      <c r="F9" s="94"/>
      <c r="G9" s="108"/>
      <c r="H9" s="53"/>
    </row>
    <row r="10" spans="1:19" s="13" customFormat="1" ht="15.75" x14ac:dyDescent="0.25">
      <c r="A10" s="107">
        <v>3</v>
      </c>
      <c r="B10" s="92" t="s">
        <v>18</v>
      </c>
      <c r="C10" s="93">
        <v>9</v>
      </c>
      <c r="D10" s="93">
        <v>9</v>
      </c>
      <c r="E10" s="93"/>
      <c r="F10" s="94"/>
      <c r="G10" s="108"/>
      <c r="H10" s="53"/>
    </row>
    <row r="11" spans="1:19" s="13" customFormat="1" ht="15.75" x14ac:dyDescent="0.25">
      <c r="A11" s="107">
        <v>4</v>
      </c>
      <c r="B11" s="92" t="s">
        <v>22</v>
      </c>
      <c r="C11" s="93">
        <v>5</v>
      </c>
      <c r="D11" s="93">
        <v>8</v>
      </c>
      <c r="E11" s="93"/>
      <c r="F11" s="94"/>
      <c r="G11" s="108"/>
      <c r="H11" s="53"/>
    </row>
    <row r="12" spans="1:19" s="13" customFormat="1" ht="15.75" x14ac:dyDescent="0.25">
      <c r="A12" s="109">
        <v>6</v>
      </c>
      <c r="B12" s="92" t="s">
        <v>19</v>
      </c>
      <c r="C12" s="93">
        <v>7</v>
      </c>
      <c r="D12" s="93">
        <v>5</v>
      </c>
      <c r="E12" s="93"/>
      <c r="F12" s="94"/>
      <c r="G12" s="108"/>
      <c r="H12" s="53"/>
    </row>
    <row r="13" spans="1:19" s="13" customFormat="1" ht="15.75" x14ac:dyDescent="0.25">
      <c r="A13" s="109">
        <v>7</v>
      </c>
      <c r="B13" s="92" t="s">
        <v>29</v>
      </c>
      <c r="C13" s="93">
        <v>9</v>
      </c>
      <c r="D13" s="93">
        <v>9</v>
      </c>
      <c r="E13" s="93"/>
      <c r="F13" s="94"/>
      <c r="G13" s="108"/>
      <c r="H13" s="53"/>
    </row>
    <row r="14" spans="1:19" s="13" customFormat="1" ht="15.75" x14ac:dyDescent="0.25">
      <c r="A14" s="109">
        <v>9</v>
      </c>
      <c r="B14" s="92" t="s">
        <v>20</v>
      </c>
      <c r="C14" s="93">
        <v>7</v>
      </c>
      <c r="D14" s="93">
        <v>6</v>
      </c>
      <c r="E14" s="93"/>
      <c r="F14" s="94"/>
      <c r="G14" s="108"/>
      <c r="H14" s="53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</row>
    <row r="15" spans="1:19" s="13" customFormat="1" ht="15.75" x14ac:dyDescent="0.25">
      <c r="A15" s="109" t="s">
        <v>45</v>
      </c>
      <c r="B15" s="96" t="s">
        <v>46</v>
      </c>
      <c r="C15" s="93">
        <v>0</v>
      </c>
      <c r="D15" s="93">
        <v>0</v>
      </c>
      <c r="E15" s="93"/>
      <c r="F15" s="97"/>
      <c r="G15" s="108"/>
      <c r="H15" s="53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</row>
    <row r="16" spans="1:19" s="13" customFormat="1" ht="15.75" x14ac:dyDescent="0.25">
      <c r="A16" s="110"/>
      <c r="B16" s="99" t="s">
        <v>11</v>
      </c>
      <c r="C16" s="118">
        <f>SUM(C8:C15)</f>
        <v>73</v>
      </c>
      <c r="D16" s="118">
        <f>SUM(D8:D15)</f>
        <v>69</v>
      </c>
      <c r="E16" s="118"/>
      <c r="F16" s="98"/>
      <c r="G16" s="111"/>
      <c r="H16" s="53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</row>
    <row r="17" spans="1:91" s="14" customFormat="1" ht="15.75" x14ac:dyDescent="0.25">
      <c r="A17" s="126" t="s">
        <v>3</v>
      </c>
      <c r="B17" s="127"/>
      <c r="C17" s="127"/>
      <c r="D17" s="121" t="s">
        <v>12</v>
      </c>
      <c r="E17" s="89" t="s">
        <v>13</v>
      </c>
      <c r="F17" s="121"/>
      <c r="G17" s="112"/>
      <c r="H17" s="55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</row>
    <row r="18" spans="1:91" s="15" customFormat="1" ht="15.75" x14ac:dyDescent="0.25">
      <c r="A18" s="128" t="s">
        <v>28</v>
      </c>
      <c r="B18" s="129"/>
      <c r="C18" s="129"/>
      <c r="D18" s="95">
        <v>61</v>
      </c>
      <c r="E18" s="95">
        <v>15</v>
      </c>
      <c r="F18" s="95"/>
      <c r="G18" s="113"/>
      <c r="H18" s="56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</row>
    <row r="19" spans="1:91" s="15" customFormat="1" ht="15.75" x14ac:dyDescent="0.25">
      <c r="A19" s="130" t="s">
        <v>33</v>
      </c>
      <c r="B19" s="131"/>
      <c r="C19" s="131"/>
      <c r="D19" s="95">
        <v>12</v>
      </c>
      <c r="E19" s="95">
        <v>54</v>
      </c>
      <c r="F19" s="95"/>
      <c r="G19" s="113"/>
      <c r="H19" s="56"/>
      <c r="I19" s="54"/>
      <c r="J19" s="54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</row>
    <row r="20" spans="1:91" s="15" customFormat="1" ht="15.75" x14ac:dyDescent="0.25">
      <c r="A20" s="132" t="s">
        <v>34</v>
      </c>
      <c r="B20" s="133"/>
      <c r="C20" s="133"/>
      <c r="D20" s="95">
        <v>0</v>
      </c>
      <c r="E20" s="95">
        <v>0</v>
      </c>
      <c r="F20" s="95"/>
      <c r="G20" s="113"/>
      <c r="H20" s="53"/>
      <c r="I20" s="54"/>
      <c r="J20" s="54"/>
      <c r="K20" s="54"/>
      <c r="L20" s="54"/>
      <c r="M20" s="54"/>
      <c r="N20" s="54"/>
      <c r="O20" s="54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</row>
    <row r="21" spans="1:91" s="15" customFormat="1" ht="15.75" x14ac:dyDescent="0.2">
      <c r="A21" s="122" t="s">
        <v>11</v>
      </c>
      <c r="B21" s="123"/>
      <c r="C21" s="123"/>
      <c r="D21" s="100">
        <f>SUM(D18:D20)</f>
        <v>73</v>
      </c>
      <c r="E21" s="100">
        <f>SUM(E18:E20)</f>
        <v>69</v>
      </c>
      <c r="F21" s="100"/>
      <c r="G21" s="111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</row>
    <row r="22" spans="1:91" s="12" customFormat="1" ht="15.75" x14ac:dyDescent="0.25">
      <c r="A22" s="114" t="s">
        <v>36</v>
      </c>
      <c r="B22" s="101"/>
      <c r="C22" s="101"/>
      <c r="D22" s="101"/>
      <c r="E22" s="101"/>
      <c r="F22" s="101"/>
      <c r="G22" s="115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</row>
    <row r="23" spans="1:91" s="12" customFormat="1" ht="16.5" thickBot="1" x14ac:dyDescent="0.3">
      <c r="A23" s="116" t="s">
        <v>2</v>
      </c>
      <c r="B23" s="102" t="s">
        <v>23</v>
      </c>
      <c r="C23" s="102" t="s">
        <v>15</v>
      </c>
      <c r="D23" s="102" t="s">
        <v>1</v>
      </c>
      <c r="E23" s="102" t="s">
        <v>26</v>
      </c>
      <c r="F23" s="102" t="s">
        <v>24</v>
      </c>
      <c r="G23" s="117" t="s">
        <v>25</v>
      </c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</row>
    <row r="24" spans="1:91" s="35" customFormat="1" ht="13.5" thickBot="1" x14ac:dyDescent="0.25">
      <c r="A24" s="85"/>
      <c r="B24" s="87"/>
      <c r="C24" s="77"/>
      <c r="D24" s="77"/>
      <c r="E24" s="77"/>
      <c r="F24" s="77"/>
      <c r="G24" s="86"/>
      <c r="H24" s="59"/>
      <c r="I24" s="59"/>
      <c r="J24" s="59"/>
      <c r="K24" s="75"/>
    </row>
    <row r="25" spans="1:91" x14ac:dyDescent="0.3">
      <c r="A25" s="85"/>
      <c r="B25" s="87"/>
      <c r="C25" s="77"/>
      <c r="D25" s="77"/>
      <c r="E25" s="77"/>
      <c r="F25" s="77"/>
      <c r="G25" s="86"/>
      <c r="H25" s="76"/>
      <c r="I25" s="76"/>
      <c r="J25" s="76"/>
    </row>
    <row r="26" spans="1:91" ht="15.75" thickBot="1" x14ac:dyDescent="0.35">
      <c r="A26" s="88"/>
      <c r="B26" s="82"/>
      <c r="C26" s="83"/>
      <c r="D26" s="83"/>
      <c r="E26" s="83"/>
      <c r="F26" s="83"/>
      <c r="G26" s="84"/>
      <c r="H26" s="59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</row>
    <row r="27" spans="1:91" x14ac:dyDescent="0.3">
      <c r="A27" s="63"/>
      <c r="B27" s="64"/>
      <c r="C27"/>
      <c r="D27"/>
      <c r="E27"/>
      <c r="F27"/>
      <c r="G27"/>
      <c r="H27" s="59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</row>
    <row r="28" spans="1:91" x14ac:dyDescent="0.3">
      <c r="A28" s="63"/>
      <c r="B28" s="63"/>
      <c r="C28"/>
      <c r="D28"/>
      <c r="E28"/>
      <c r="F28"/>
      <c r="H28" s="59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</row>
    <row r="29" spans="1:91" ht="16.5" x14ac:dyDescent="0.3">
      <c r="A29" s="63"/>
      <c r="B29" s="64"/>
      <c r="C29"/>
      <c r="D29"/>
      <c r="E29"/>
      <c r="F29"/>
      <c r="H29" s="55"/>
      <c r="I29" s="54"/>
      <c r="J29" s="54"/>
      <c r="K29" s="54"/>
      <c r="L29" s="54"/>
      <c r="M29" s="54"/>
      <c r="N29" s="57"/>
      <c r="O29" s="57"/>
    </row>
    <row r="30" spans="1:91" ht="16.5" x14ac:dyDescent="0.3">
      <c r="H30" s="56"/>
      <c r="I30" s="54"/>
      <c r="J30" s="54"/>
      <c r="K30" s="54"/>
      <c r="L30" s="54"/>
      <c r="M30" s="54"/>
      <c r="N30"/>
    </row>
    <row r="31" spans="1:91" ht="16.5" x14ac:dyDescent="0.3">
      <c r="H31" s="56"/>
      <c r="I31" s="54"/>
      <c r="J31" s="54"/>
      <c r="K31" s="57"/>
      <c r="L31" s="57"/>
      <c r="M31" s="57"/>
      <c r="N31"/>
    </row>
    <row r="32" spans="1:91" ht="16.5" x14ac:dyDescent="0.3">
      <c r="H32" s="53"/>
      <c r="I32" s="54"/>
      <c r="J32" s="54"/>
      <c r="K32" s="54"/>
      <c r="L32" s="54"/>
      <c r="M32" s="54"/>
      <c r="N32"/>
    </row>
    <row r="33" spans="8:13" ht="16.5" x14ac:dyDescent="0.3">
      <c r="H33" s="53"/>
      <c r="I33" s="54"/>
      <c r="J33" s="54"/>
      <c r="K33" s="54"/>
      <c r="L33" s="54"/>
      <c r="M33" s="54"/>
    </row>
    <row r="34" spans="8:13" ht="16.5" x14ac:dyDescent="0.3">
      <c r="H34" s="53"/>
      <c r="I34" s="54"/>
      <c r="J34" s="54"/>
      <c r="K34" s="54"/>
      <c r="L34" s="54"/>
      <c r="M34" s="54"/>
    </row>
  </sheetData>
  <mergeCells count="6">
    <mergeCell ref="A21:C21"/>
    <mergeCell ref="A6:B6"/>
    <mergeCell ref="A17:C17"/>
    <mergeCell ref="A18:C18"/>
    <mergeCell ref="A19:C19"/>
    <mergeCell ref="A20:C20"/>
  </mergeCells>
  <phoneticPr fontId="51" type="noConversion"/>
  <printOptions horizontalCentered="1"/>
  <pageMargins left="0" right="0" top="0.75" bottom="0.5" header="0.25" footer="0"/>
  <pageSetup scale="85" fitToHeight="0" orientation="landscape" r:id="rId1"/>
  <headerFooter alignWithMargins="0">
    <oddHeader xml:space="preserve">&amp;L&amp;"Copperplate Gothic Bold,Bold Italic"&amp;12OPEN ANALYST INVESTIGATIONS&amp;"Copperplate Gothic Bold,Regular"&amp;10
</oddHeader>
    <oddFooter>&amp;L&amp;D&amp;T&amp;Cprepared by rossey&amp;R&amp;F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3"/>
  <sheetViews>
    <sheetView zoomScaleNormal="100" workbookViewId="0">
      <pane ySplit="2" topLeftCell="A3" activePane="bottomLeft" state="frozen"/>
      <selection pane="bottomLeft"/>
    </sheetView>
  </sheetViews>
  <sheetFormatPr defaultRowHeight="13.5" thickBottom="1" x14ac:dyDescent="0.25"/>
  <cols>
    <col min="1" max="1" width="16.7109375" style="52" bestFit="1" customWidth="1"/>
    <col min="2" max="2" width="17.140625" style="52" bestFit="1" customWidth="1"/>
    <col min="3" max="3" width="8.85546875" style="30" customWidth="1"/>
    <col min="4" max="4" width="9.28515625" style="30" customWidth="1"/>
    <col min="5" max="5" width="8.140625" style="30" customWidth="1"/>
    <col min="6" max="6" width="8" style="31" customWidth="1"/>
    <col min="7" max="7" width="14.140625" style="29" bestFit="1" customWidth="1"/>
    <col min="8" max="8" width="27.42578125" style="32" bestFit="1" customWidth="1"/>
    <col min="9" max="9" width="21.7109375" style="30" bestFit="1" customWidth="1"/>
    <col min="10" max="10" width="12" style="32" bestFit="1" customWidth="1"/>
    <col min="11" max="11" width="29.85546875" style="32" bestFit="1" customWidth="1"/>
    <col min="12" max="12" width="10.42578125" style="29" bestFit="1" customWidth="1"/>
    <col min="13" max="13" width="18.5703125" style="29" bestFit="1" customWidth="1"/>
    <col min="14" max="14" width="1.42578125" style="29" customWidth="1"/>
    <col min="15" max="15" width="25" style="29" bestFit="1" customWidth="1"/>
    <col min="16" max="16384" width="9.140625" style="29"/>
  </cols>
  <sheetData>
    <row r="1" spans="1:23" s="23" customFormat="1" ht="15.75" customHeight="1" thickBot="1" x14ac:dyDescent="0.25">
      <c r="A1" s="50">
        <v>42201</v>
      </c>
      <c r="B1" s="50"/>
      <c r="C1" s="16"/>
      <c r="D1" s="17"/>
      <c r="E1" s="17"/>
      <c r="F1" s="18"/>
      <c r="G1" s="19"/>
      <c r="H1" s="16" t="s">
        <v>197</v>
      </c>
      <c r="I1" s="16"/>
      <c r="J1" s="20"/>
      <c r="K1" s="20"/>
      <c r="L1" s="21"/>
      <c r="M1" s="21"/>
      <c r="N1" s="33"/>
      <c r="O1" s="22"/>
      <c r="P1" s="22"/>
      <c r="Q1" s="22"/>
      <c r="R1" s="22"/>
      <c r="S1" s="22"/>
      <c r="T1" s="22"/>
      <c r="U1" s="22"/>
      <c r="V1" s="22"/>
      <c r="W1" s="22"/>
    </row>
    <row r="2" spans="1:23" s="26" customFormat="1" ht="30.75" customHeight="1" thickBot="1" x14ac:dyDescent="0.25">
      <c r="A2" s="51" t="s">
        <v>30</v>
      </c>
      <c r="B2" s="51" t="s">
        <v>21</v>
      </c>
      <c r="C2" s="24" t="s">
        <v>4</v>
      </c>
      <c r="D2" s="24" t="s">
        <v>5</v>
      </c>
      <c r="E2" s="24" t="s">
        <v>0</v>
      </c>
      <c r="F2" s="25" t="s">
        <v>6</v>
      </c>
      <c r="G2" s="24" t="s">
        <v>15</v>
      </c>
      <c r="H2" s="24" t="s">
        <v>27</v>
      </c>
      <c r="I2" s="24" t="s">
        <v>16</v>
      </c>
      <c r="J2" s="24" t="s">
        <v>23</v>
      </c>
      <c r="K2" s="24" t="s">
        <v>7</v>
      </c>
      <c r="L2" s="40" t="s">
        <v>31</v>
      </c>
      <c r="M2" s="40" t="s">
        <v>32</v>
      </c>
      <c r="N2" s="39"/>
      <c r="O2" s="38"/>
      <c r="P2" s="38"/>
      <c r="Q2" s="38"/>
      <c r="R2" s="38"/>
      <c r="S2" s="38"/>
      <c r="T2" s="38"/>
      <c r="U2" s="38"/>
      <c r="V2" s="38"/>
      <c r="W2" s="38"/>
    </row>
    <row r="3" spans="1:23" s="35" customFormat="1" thickBot="1" x14ac:dyDescent="0.25">
      <c r="A3" s="41">
        <v>42163.557199074072</v>
      </c>
      <c r="B3" s="41">
        <v>42163</v>
      </c>
      <c r="C3" s="42">
        <v>1</v>
      </c>
      <c r="D3" s="42">
        <v>23</v>
      </c>
      <c r="E3" s="42">
        <v>728</v>
      </c>
      <c r="F3" s="42">
        <f>SUM(A$1-B3)</f>
        <v>38</v>
      </c>
      <c r="G3" s="35" t="s">
        <v>77</v>
      </c>
      <c r="H3" s="35" t="s">
        <v>78</v>
      </c>
      <c r="I3" s="35" t="s">
        <v>54</v>
      </c>
      <c r="J3" s="35" t="s">
        <v>17</v>
      </c>
      <c r="K3" s="35" t="s">
        <v>41</v>
      </c>
      <c r="L3" s="35" t="s">
        <v>37</v>
      </c>
      <c r="M3" s="35" t="s">
        <v>43</v>
      </c>
      <c r="N3" s="34" t="s">
        <v>35</v>
      </c>
    </row>
    <row r="4" spans="1:23" s="35" customFormat="1" thickBot="1" x14ac:dyDescent="0.25">
      <c r="A4" s="41">
        <v>42192.48914351852</v>
      </c>
      <c r="B4" s="41">
        <v>42192</v>
      </c>
      <c r="C4" s="42">
        <v>1</v>
      </c>
      <c r="D4" s="42">
        <v>23</v>
      </c>
      <c r="E4" s="42">
        <v>1122</v>
      </c>
      <c r="F4" s="42">
        <f>SUM(A$1-B4)</f>
        <v>9</v>
      </c>
      <c r="G4" s="35" t="s">
        <v>168</v>
      </c>
      <c r="H4" s="35" t="s">
        <v>169</v>
      </c>
      <c r="I4" s="35" t="s">
        <v>54</v>
      </c>
      <c r="J4" s="35" t="s">
        <v>17</v>
      </c>
      <c r="K4" s="35" t="s">
        <v>41</v>
      </c>
      <c r="L4" s="35" t="s">
        <v>37</v>
      </c>
      <c r="M4" s="35" t="s">
        <v>43</v>
      </c>
      <c r="N4" s="59"/>
    </row>
    <row r="5" spans="1:23" s="35" customFormat="1" thickBot="1" x14ac:dyDescent="0.25">
      <c r="A5" s="41">
        <v>42192.463252314818</v>
      </c>
      <c r="B5" s="41">
        <v>42192</v>
      </c>
      <c r="C5" s="42">
        <v>1</v>
      </c>
      <c r="D5" s="42">
        <v>38</v>
      </c>
      <c r="E5" s="42">
        <v>365</v>
      </c>
      <c r="F5" s="42">
        <f>SUM(A$1-B5)</f>
        <v>9</v>
      </c>
      <c r="G5" s="35" t="s">
        <v>135</v>
      </c>
      <c r="H5" s="35" t="s">
        <v>136</v>
      </c>
      <c r="I5" s="35" t="s">
        <v>137</v>
      </c>
      <c r="J5" s="35" t="s">
        <v>17</v>
      </c>
      <c r="K5" s="35" t="s">
        <v>41</v>
      </c>
      <c r="L5" s="35" t="s">
        <v>37</v>
      </c>
      <c r="M5" s="35" t="s">
        <v>43</v>
      </c>
      <c r="N5" s="59"/>
    </row>
    <row r="6" spans="1:23" s="35" customFormat="1" thickBot="1" x14ac:dyDescent="0.25">
      <c r="A6" s="41">
        <v>42199.523159722223</v>
      </c>
      <c r="B6" s="41">
        <v>42199</v>
      </c>
      <c r="C6" s="42">
        <v>1</v>
      </c>
      <c r="D6" s="42">
        <v>44</v>
      </c>
      <c r="E6" s="42">
        <v>1026</v>
      </c>
      <c r="F6" s="42">
        <f>SUM(A$1-B6)</f>
        <v>2</v>
      </c>
      <c r="G6" s="35" t="s">
        <v>218</v>
      </c>
      <c r="H6" s="35" t="s">
        <v>219</v>
      </c>
      <c r="I6" s="35" t="s">
        <v>79</v>
      </c>
      <c r="J6" s="35" t="s">
        <v>17</v>
      </c>
      <c r="K6" s="35" t="s">
        <v>44</v>
      </c>
      <c r="L6" s="35" t="s">
        <v>37</v>
      </c>
      <c r="M6" s="35" t="s">
        <v>43</v>
      </c>
      <c r="N6" s="59" t="s">
        <v>35</v>
      </c>
    </row>
    <row r="7" spans="1:23" s="35" customFormat="1" thickBot="1" x14ac:dyDescent="0.25">
      <c r="A7" s="41">
        <v>42178.696979166663</v>
      </c>
      <c r="B7" s="41">
        <v>42178</v>
      </c>
      <c r="C7" s="42">
        <v>1</v>
      </c>
      <c r="D7" s="42">
        <v>44</v>
      </c>
      <c r="E7" s="42">
        <v>1025</v>
      </c>
      <c r="F7" s="42">
        <f>SUM(A$1-B7)</f>
        <v>23</v>
      </c>
      <c r="G7" s="35" t="s">
        <v>89</v>
      </c>
      <c r="H7" s="35" t="s">
        <v>90</v>
      </c>
      <c r="I7" s="35" t="s">
        <v>79</v>
      </c>
      <c r="J7" s="35" t="s">
        <v>17</v>
      </c>
      <c r="K7" s="65" t="s">
        <v>39</v>
      </c>
      <c r="L7" s="35" t="s">
        <v>37</v>
      </c>
      <c r="M7" s="35" t="s">
        <v>43</v>
      </c>
      <c r="N7" s="59" t="s">
        <v>35</v>
      </c>
    </row>
    <row r="8" spans="1:23" s="35" customFormat="1" thickBot="1" x14ac:dyDescent="0.25">
      <c r="A8" s="41">
        <v>42192.470486111109</v>
      </c>
      <c r="B8" s="41">
        <v>42192</v>
      </c>
      <c r="C8" s="42">
        <v>1</v>
      </c>
      <c r="D8" s="42">
        <v>44</v>
      </c>
      <c r="E8" s="42">
        <v>1025</v>
      </c>
      <c r="F8" s="42">
        <f>SUM(A$1-B8)</f>
        <v>9</v>
      </c>
      <c r="G8" s="35" t="s">
        <v>149</v>
      </c>
      <c r="H8" s="35" t="s">
        <v>150</v>
      </c>
      <c r="I8" s="35" t="s">
        <v>79</v>
      </c>
      <c r="J8" s="35" t="s">
        <v>17</v>
      </c>
      <c r="K8" s="35" t="s">
        <v>41</v>
      </c>
      <c r="L8" s="35" t="s">
        <v>37</v>
      </c>
      <c r="M8" s="35" t="s">
        <v>43</v>
      </c>
      <c r="N8" s="59"/>
    </row>
    <row r="9" spans="1:23" s="35" customFormat="1" thickBot="1" x14ac:dyDescent="0.25">
      <c r="A9" s="41">
        <v>42166.672013888892</v>
      </c>
      <c r="B9" s="41">
        <v>42166</v>
      </c>
      <c r="C9" s="42">
        <v>1</v>
      </c>
      <c r="D9" s="42">
        <v>44</v>
      </c>
      <c r="E9" s="42">
        <v>1025</v>
      </c>
      <c r="F9" s="42">
        <f>SUM(A$1-B9)</f>
        <v>35</v>
      </c>
      <c r="G9" s="35" t="s">
        <v>83</v>
      </c>
      <c r="H9" s="35" t="s">
        <v>84</v>
      </c>
      <c r="I9" s="35" t="s">
        <v>79</v>
      </c>
      <c r="J9" s="35" t="s">
        <v>17</v>
      </c>
      <c r="K9" s="35" t="s">
        <v>82</v>
      </c>
      <c r="L9" s="35" t="s">
        <v>37</v>
      </c>
      <c r="M9" s="35" t="s">
        <v>43</v>
      </c>
      <c r="N9" s="59"/>
    </row>
    <row r="10" spans="1:23" s="35" customFormat="1" thickBot="1" x14ac:dyDescent="0.25">
      <c r="A10" s="41">
        <v>42192.478379629632</v>
      </c>
      <c r="B10" s="41">
        <v>42192</v>
      </c>
      <c r="C10" s="42">
        <v>1</v>
      </c>
      <c r="D10" s="42">
        <v>46</v>
      </c>
      <c r="E10" s="42">
        <v>1075</v>
      </c>
      <c r="F10" s="42">
        <f>SUM(A$1-B10)</f>
        <v>9</v>
      </c>
      <c r="G10" s="35" t="s">
        <v>160</v>
      </c>
      <c r="H10" s="35" t="s">
        <v>161</v>
      </c>
      <c r="I10" s="35" t="s">
        <v>162</v>
      </c>
      <c r="J10" s="35" t="s">
        <v>17</v>
      </c>
      <c r="K10" s="35" t="s">
        <v>41</v>
      </c>
      <c r="L10" s="35" t="s">
        <v>37</v>
      </c>
      <c r="M10" s="35" t="s">
        <v>43</v>
      </c>
      <c r="N10" s="59"/>
    </row>
    <row r="11" spans="1:23" s="35" customFormat="1" thickBot="1" x14ac:dyDescent="0.25">
      <c r="A11" s="41">
        <v>42199.395729166667</v>
      </c>
      <c r="B11" s="41">
        <v>42199</v>
      </c>
      <c r="C11" s="42">
        <v>1</v>
      </c>
      <c r="D11" s="42">
        <v>51</v>
      </c>
      <c r="E11" s="42">
        <v>429</v>
      </c>
      <c r="F11" s="42">
        <f>SUM(A$1-B11)</f>
        <v>2</v>
      </c>
      <c r="G11" s="35" t="s">
        <v>198</v>
      </c>
      <c r="H11" s="35" t="s">
        <v>199</v>
      </c>
      <c r="I11" s="35" t="s">
        <v>50</v>
      </c>
      <c r="J11" s="35" t="s">
        <v>17</v>
      </c>
      <c r="K11" s="35" t="s">
        <v>44</v>
      </c>
      <c r="L11" s="35" t="s">
        <v>37</v>
      </c>
      <c r="M11" s="35" t="s">
        <v>43</v>
      </c>
      <c r="N11" s="59"/>
    </row>
    <row r="12" spans="1:23" s="35" customFormat="1" thickBot="1" x14ac:dyDescent="0.25">
      <c r="A12" s="41">
        <v>42199.397048611114</v>
      </c>
      <c r="B12" s="41">
        <v>42199</v>
      </c>
      <c r="C12" s="42">
        <v>1</v>
      </c>
      <c r="D12" s="42">
        <v>51</v>
      </c>
      <c r="E12" s="42">
        <v>429</v>
      </c>
      <c r="F12" s="42">
        <f>SUM(A$1-B12)</f>
        <v>2</v>
      </c>
      <c r="G12" s="35" t="s">
        <v>200</v>
      </c>
      <c r="H12" s="35" t="s">
        <v>201</v>
      </c>
      <c r="I12" s="35" t="s">
        <v>50</v>
      </c>
      <c r="J12" s="35" t="s">
        <v>17</v>
      </c>
      <c r="K12" s="35" t="s">
        <v>44</v>
      </c>
      <c r="L12" s="35" t="s">
        <v>37</v>
      </c>
      <c r="M12" s="35" t="s">
        <v>43</v>
      </c>
      <c r="N12" s="59"/>
    </row>
    <row r="13" spans="1:23" s="35" customFormat="1" thickBot="1" x14ac:dyDescent="0.25">
      <c r="A13" s="41">
        <v>42199.397870370369</v>
      </c>
      <c r="B13" s="41">
        <v>42199</v>
      </c>
      <c r="C13" s="42">
        <v>1</v>
      </c>
      <c r="D13" s="42">
        <v>51</v>
      </c>
      <c r="E13" s="42">
        <v>429</v>
      </c>
      <c r="F13" s="42">
        <f>SUM(A$1-B13)</f>
        <v>2</v>
      </c>
      <c r="G13" s="35" t="s">
        <v>202</v>
      </c>
      <c r="H13" s="35" t="s">
        <v>203</v>
      </c>
      <c r="I13" s="35" t="s">
        <v>50</v>
      </c>
      <c r="J13" s="35" t="s">
        <v>17</v>
      </c>
      <c r="K13" s="35" t="s">
        <v>44</v>
      </c>
      <c r="L13" s="35" t="s">
        <v>37</v>
      </c>
      <c r="M13" s="35" t="s">
        <v>43</v>
      </c>
      <c r="N13" s="59"/>
    </row>
    <row r="14" spans="1:23" s="35" customFormat="1" thickBot="1" x14ac:dyDescent="0.25">
      <c r="A14" s="41">
        <v>42199.398738425924</v>
      </c>
      <c r="B14" s="41">
        <v>42199</v>
      </c>
      <c r="C14" s="42">
        <v>1</v>
      </c>
      <c r="D14" s="42">
        <v>51</v>
      </c>
      <c r="E14" s="42">
        <v>429</v>
      </c>
      <c r="F14" s="42">
        <f>SUM(A$1-B14)</f>
        <v>2</v>
      </c>
      <c r="G14" s="35" t="s">
        <v>204</v>
      </c>
      <c r="H14" s="35" t="s">
        <v>205</v>
      </c>
      <c r="I14" s="35" t="s">
        <v>50</v>
      </c>
      <c r="J14" s="35" t="s">
        <v>17</v>
      </c>
      <c r="K14" s="35" t="s">
        <v>44</v>
      </c>
      <c r="L14" s="35" t="s">
        <v>37</v>
      </c>
      <c r="M14" s="35" t="s">
        <v>43</v>
      </c>
      <c r="N14" s="34" t="s">
        <v>35</v>
      </c>
    </row>
    <row r="15" spans="1:23" s="35" customFormat="1" thickBot="1" x14ac:dyDescent="0.25">
      <c r="A15" s="41">
        <v>42199.400138888886</v>
      </c>
      <c r="B15" s="41">
        <v>42199</v>
      </c>
      <c r="C15" s="42">
        <v>1</v>
      </c>
      <c r="D15" s="42">
        <v>51</v>
      </c>
      <c r="E15" s="42">
        <v>429</v>
      </c>
      <c r="F15" s="42">
        <f>SUM(A$1-B15)</f>
        <v>2</v>
      </c>
      <c r="G15" s="35" t="s">
        <v>206</v>
      </c>
      <c r="H15" s="35" t="s">
        <v>207</v>
      </c>
      <c r="I15" s="35" t="s">
        <v>50</v>
      </c>
      <c r="J15" s="35" t="s">
        <v>17</v>
      </c>
      <c r="K15" s="35" t="s">
        <v>44</v>
      </c>
      <c r="L15" s="35" t="s">
        <v>37</v>
      </c>
      <c r="M15" s="35" t="s">
        <v>43</v>
      </c>
      <c r="N15" s="59" t="s">
        <v>35</v>
      </c>
    </row>
    <row r="16" spans="1:23" s="35" customFormat="1" thickBot="1" x14ac:dyDescent="0.25">
      <c r="A16" s="41">
        <v>42199.401400462964</v>
      </c>
      <c r="B16" s="41">
        <v>42199</v>
      </c>
      <c r="C16" s="42">
        <v>1</v>
      </c>
      <c r="D16" s="42">
        <v>51</v>
      </c>
      <c r="E16" s="42">
        <v>429</v>
      </c>
      <c r="F16" s="42">
        <f>SUM(A$1-B16)</f>
        <v>2</v>
      </c>
      <c r="G16" s="35" t="s">
        <v>208</v>
      </c>
      <c r="H16" s="35" t="s">
        <v>209</v>
      </c>
      <c r="I16" s="35" t="s">
        <v>50</v>
      </c>
      <c r="J16" s="35" t="s">
        <v>17</v>
      </c>
      <c r="K16" s="35" t="s">
        <v>44</v>
      </c>
      <c r="L16" s="35" t="s">
        <v>37</v>
      </c>
      <c r="M16" s="35" t="s">
        <v>43</v>
      </c>
      <c r="N16" s="59" t="s">
        <v>35</v>
      </c>
    </row>
    <row r="17" spans="1:16" s="35" customFormat="1" thickBot="1" x14ac:dyDescent="0.25">
      <c r="A17" s="41">
        <v>42199.402141203704</v>
      </c>
      <c r="B17" s="41">
        <v>42199</v>
      </c>
      <c r="C17" s="42">
        <v>1</v>
      </c>
      <c r="D17" s="42">
        <v>51</v>
      </c>
      <c r="E17" s="42">
        <v>429</v>
      </c>
      <c r="F17" s="42">
        <f>SUM(A$1-B17)</f>
        <v>2</v>
      </c>
      <c r="G17" s="35" t="s">
        <v>210</v>
      </c>
      <c r="H17" s="35" t="s">
        <v>211</v>
      </c>
      <c r="I17" s="35" t="s">
        <v>50</v>
      </c>
      <c r="J17" s="35" t="s">
        <v>17</v>
      </c>
      <c r="K17" s="35" t="s">
        <v>44</v>
      </c>
      <c r="L17" s="35" t="s">
        <v>37</v>
      </c>
      <c r="M17" s="35" t="s">
        <v>43</v>
      </c>
      <c r="N17" s="34" t="s">
        <v>35</v>
      </c>
    </row>
    <row r="18" spans="1:16" s="35" customFormat="1" thickBot="1" x14ac:dyDescent="0.25">
      <c r="A18" s="41">
        <v>42199.403009259258</v>
      </c>
      <c r="B18" s="41">
        <v>42199</v>
      </c>
      <c r="C18" s="42">
        <v>1</v>
      </c>
      <c r="D18" s="42">
        <v>51</v>
      </c>
      <c r="E18" s="42">
        <v>429</v>
      </c>
      <c r="F18" s="42">
        <f>SUM(A$1-B18)</f>
        <v>2</v>
      </c>
      <c r="G18" s="35" t="s">
        <v>212</v>
      </c>
      <c r="H18" s="35" t="s">
        <v>213</v>
      </c>
      <c r="I18" s="35" t="s">
        <v>50</v>
      </c>
      <c r="J18" s="35" t="s">
        <v>17</v>
      </c>
      <c r="K18" s="35" t="s">
        <v>44</v>
      </c>
      <c r="L18" s="35" t="s">
        <v>37</v>
      </c>
      <c r="M18" s="35" t="s">
        <v>43</v>
      </c>
      <c r="N18" s="34"/>
    </row>
    <row r="19" spans="1:16" s="35" customFormat="1" thickBot="1" x14ac:dyDescent="0.25">
      <c r="A19" s="41">
        <v>42199.403784722221</v>
      </c>
      <c r="B19" s="41">
        <v>42199</v>
      </c>
      <c r="C19" s="42">
        <v>1</v>
      </c>
      <c r="D19" s="42">
        <v>51</v>
      </c>
      <c r="E19" s="42">
        <v>429</v>
      </c>
      <c r="F19" s="42">
        <f>SUM(A$1-B19)</f>
        <v>2</v>
      </c>
      <c r="G19" s="35" t="s">
        <v>214</v>
      </c>
      <c r="H19" s="35" t="s">
        <v>215</v>
      </c>
      <c r="I19" s="35" t="s">
        <v>50</v>
      </c>
      <c r="J19" s="35" t="s">
        <v>17</v>
      </c>
      <c r="K19" s="35" t="s">
        <v>44</v>
      </c>
      <c r="L19" s="35" t="s">
        <v>37</v>
      </c>
      <c r="M19" s="35" t="s">
        <v>43</v>
      </c>
      <c r="N19" s="34" t="s">
        <v>35</v>
      </c>
    </row>
    <row r="20" spans="1:16" s="35" customFormat="1" thickBot="1" x14ac:dyDescent="0.25">
      <c r="A20" s="41">
        <v>42199.404641203706</v>
      </c>
      <c r="B20" s="41">
        <v>42199</v>
      </c>
      <c r="C20" s="42">
        <v>1</v>
      </c>
      <c r="D20" s="42">
        <v>51</v>
      </c>
      <c r="E20" s="42">
        <v>429</v>
      </c>
      <c r="F20" s="42">
        <f>SUM(A$1-B20)</f>
        <v>2</v>
      </c>
      <c r="G20" s="35" t="s">
        <v>216</v>
      </c>
      <c r="H20" s="35" t="s">
        <v>217</v>
      </c>
      <c r="I20" s="35" t="s">
        <v>50</v>
      </c>
      <c r="J20" s="35" t="s">
        <v>17</v>
      </c>
      <c r="K20" s="35" t="s">
        <v>44</v>
      </c>
      <c r="L20" s="35" t="s">
        <v>37</v>
      </c>
      <c r="M20" s="35" t="s">
        <v>43</v>
      </c>
      <c r="N20" s="34" t="s">
        <v>35</v>
      </c>
    </row>
    <row r="21" spans="1:16" s="35" customFormat="1" thickBot="1" x14ac:dyDescent="0.25">
      <c r="A21" s="41">
        <v>42192.475208333337</v>
      </c>
      <c r="B21" s="41">
        <v>42192</v>
      </c>
      <c r="C21" s="42">
        <v>1</v>
      </c>
      <c r="D21" s="42">
        <v>55</v>
      </c>
      <c r="E21" s="42">
        <v>1047</v>
      </c>
      <c r="F21" s="42">
        <f>SUM(A$1-B21)</f>
        <v>9</v>
      </c>
      <c r="G21" s="35" t="s">
        <v>157</v>
      </c>
      <c r="H21" s="35" t="s">
        <v>158</v>
      </c>
      <c r="I21" s="35" t="s">
        <v>159</v>
      </c>
      <c r="J21" s="35" t="s">
        <v>17</v>
      </c>
      <c r="K21" s="35" t="s">
        <v>41</v>
      </c>
      <c r="L21" s="35" t="s">
        <v>37</v>
      </c>
      <c r="M21" s="35" t="s">
        <v>43</v>
      </c>
      <c r="N21" s="59" t="s">
        <v>35</v>
      </c>
    </row>
    <row r="22" spans="1:16" s="35" customFormat="1" thickBot="1" x14ac:dyDescent="0.25">
      <c r="A22" s="41">
        <v>42192.466134259259</v>
      </c>
      <c r="B22" s="41">
        <v>42192</v>
      </c>
      <c r="C22" s="42">
        <v>1</v>
      </c>
      <c r="D22" s="42">
        <v>65</v>
      </c>
      <c r="E22" s="42">
        <v>624</v>
      </c>
      <c r="F22" s="42">
        <f>SUM(A$1-B22)</f>
        <v>9</v>
      </c>
      <c r="G22" s="35" t="s">
        <v>138</v>
      </c>
      <c r="H22" s="35" t="s">
        <v>139</v>
      </c>
      <c r="I22" s="35" t="s">
        <v>140</v>
      </c>
      <c r="J22" s="35" t="s">
        <v>17</v>
      </c>
      <c r="K22" s="35" t="s">
        <v>85</v>
      </c>
      <c r="L22" s="35" t="s">
        <v>37</v>
      </c>
      <c r="M22" s="35" t="s">
        <v>43</v>
      </c>
      <c r="N22" s="59"/>
    </row>
    <row r="23" spans="1:16" s="35" customFormat="1" thickBot="1" x14ac:dyDescent="0.25">
      <c r="A23" s="41">
        <v>42200.533726851849</v>
      </c>
      <c r="B23" s="41">
        <v>42200</v>
      </c>
      <c r="C23" s="42">
        <v>2</v>
      </c>
      <c r="D23" s="42">
        <v>16</v>
      </c>
      <c r="E23" s="42">
        <v>378</v>
      </c>
      <c r="F23" s="42">
        <f>SUM(A$1-B23)</f>
        <v>1</v>
      </c>
      <c r="G23" s="35" t="s">
        <v>220</v>
      </c>
      <c r="H23" s="35" t="s">
        <v>221</v>
      </c>
      <c r="I23" s="35" t="s">
        <v>52</v>
      </c>
      <c r="J23" s="35" t="s">
        <v>40</v>
      </c>
      <c r="K23" s="35" t="s">
        <v>44</v>
      </c>
      <c r="L23" s="35" t="s">
        <v>37</v>
      </c>
      <c r="M23" s="35" t="s">
        <v>43</v>
      </c>
      <c r="N23" s="59" t="s">
        <v>35</v>
      </c>
    </row>
    <row r="24" spans="1:16" s="35" customFormat="1" thickBot="1" x14ac:dyDescent="0.25">
      <c r="A24" s="41">
        <v>42158.508252314816</v>
      </c>
      <c r="B24" s="41">
        <v>42158</v>
      </c>
      <c r="C24" s="42">
        <v>2</v>
      </c>
      <c r="D24" s="42">
        <v>26</v>
      </c>
      <c r="E24" s="42">
        <v>1178</v>
      </c>
      <c r="F24" s="42">
        <f>SUM(A$1-B24)</f>
        <v>43</v>
      </c>
      <c r="G24" s="35" t="s">
        <v>61</v>
      </c>
      <c r="H24" s="35" t="s">
        <v>62</v>
      </c>
      <c r="I24" s="35" t="s">
        <v>48</v>
      </c>
      <c r="J24" s="35" t="s">
        <v>40</v>
      </c>
      <c r="K24" s="35" t="s">
        <v>41</v>
      </c>
      <c r="L24" s="35" t="s">
        <v>37</v>
      </c>
      <c r="M24" s="35" t="s">
        <v>38</v>
      </c>
      <c r="N24" s="59" t="s">
        <v>35</v>
      </c>
    </row>
    <row r="25" spans="1:16" s="35" customFormat="1" thickBot="1" x14ac:dyDescent="0.25">
      <c r="A25" s="41">
        <v>42186.492800925924</v>
      </c>
      <c r="B25" s="41">
        <v>42186</v>
      </c>
      <c r="C25" s="42">
        <v>2</v>
      </c>
      <c r="D25" s="42">
        <v>26</v>
      </c>
      <c r="E25" s="42">
        <v>452</v>
      </c>
      <c r="F25" s="42">
        <f>SUM(A$1-B25)</f>
        <v>15</v>
      </c>
      <c r="G25" s="35" t="s">
        <v>115</v>
      </c>
      <c r="H25" s="35" t="s">
        <v>116</v>
      </c>
      <c r="I25" s="35" t="s">
        <v>48</v>
      </c>
      <c r="J25" s="35" t="s">
        <v>40</v>
      </c>
      <c r="K25" s="35" t="s">
        <v>41</v>
      </c>
      <c r="L25" s="35" t="s">
        <v>37</v>
      </c>
      <c r="M25" s="35" t="s">
        <v>38</v>
      </c>
      <c r="N25" s="34"/>
      <c r="P25" s="28"/>
    </row>
    <row r="26" spans="1:16" s="35" customFormat="1" thickBot="1" x14ac:dyDescent="0.25">
      <c r="A26" s="41">
        <v>42194.544120370374</v>
      </c>
      <c r="B26" s="41">
        <v>42194</v>
      </c>
      <c r="C26" s="42">
        <v>2</v>
      </c>
      <c r="D26" s="42">
        <v>33</v>
      </c>
      <c r="E26" s="42">
        <v>412</v>
      </c>
      <c r="F26" s="42">
        <f>SUM(A$1-B26)</f>
        <v>7</v>
      </c>
      <c r="G26" s="35" t="s">
        <v>191</v>
      </c>
      <c r="H26" s="35" t="s">
        <v>192</v>
      </c>
      <c r="I26" s="35" t="s">
        <v>114</v>
      </c>
      <c r="J26" s="35" t="s">
        <v>40</v>
      </c>
      <c r="K26" s="35" t="s">
        <v>44</v>
      </c>
      <c r="L26" s="35" t="s">
        <v>37</v>
      </c>
      <c r="M26" s="35" t="s">
        <v>38</v>
      </c>
      <c r="N26" s="59"/>
    </row>
    <row r="27" spans="1:16" s="35" customFormat="1" thickBot="1" x14ac:dyDescent="0.25">
      <c r="A27" s="41">
        <v>42186.490578703706</v>
      </c>
      <c r="B27" s="41">
        <v>42186</v>
      </c>
      <c r="C27" s="42">
        <v>2</v>
      </c>
      <c r="D27" s="42">
        <v>33</v>
      </c>
      <c r="E27" s="42">
        <v>412</v>
      </c>
      <c r="F27" s="42">
        <f>SUM(A$1-B27)</f>
        <v>15</v>
      </c>
      <c r="G27" s="35" t="s">
        <v>112</v>
      </c>
      <c r="H27" s="35" t="s">
        <v>113</v>
      </c>
      <c r="I27" s="35" t="s">
        <v>114</v>
      </c>
      <c r="J27" s="35" t="s">
        <v>40</v>
      </c>
      <c r="K27" s="35" t="s">
        <v>41</v>
      </c>
      <c r="L27" s="35" t="s">
        <v>37</v>
      </c>
      <c r="M27" s="35" t="s">
        <v>38</v>
      </c>
      <c r="N27" s="34"/>
    </row>
    <row r="28" spans="1:16" s="35" customFormat="1" thickBot="1" x14ac:dyDescent="0.25">
      <c r="A28" s="41">
        <v>42184.523449074077</v>
      </c>
      <c r="B28" s="41">
        <v>42184</v>
      </c>
      <c r="C28" s="42">
        <v>2</v>
      </c>
      <c r="D28" s="42">
        <v>42</v>
      </c>
      <c r="E28" s="42">
        <v>131</v>
      </c>
      <c r="F28" s="42">
        <f>SUM(A$1-B28)</f>
        <v>17</v>
      </c>
      <c r="G28" s="35" t="s">
        <v>99</v>
      </c>
      <c r="H28" s="35" t="s">
        <v>100</v>
      </c>
      <c r="I28" s="35" t="s">
        <v>101</v>
      </c>
      <c r="J28" s="35" t="s">
        <v>40</v>
      </c>
      <c r="K28" s="65" t="s">
        <v>39</v>
      </c>
      <c r="L28" s="35" t="s">
        <v>37</v>
      </c>
      <c r="M28" s="35" t="s">
        <v>38</v>
      </c>
      <c r="N28" s="59" t="s">
        <v>35</v>
      </c>
    </row>
    <row r="29" spans="1:16" s="35" customFormat="1" thickBot="1" x14ac:dyDescent="0.25">
      <c r="A29" s="41">
        <v>42186.51767361111</v>
      </c>
      <c r="B29" s="41">
        <v>42186</v>
      </c>
      <c r="C29" s="42">
        <v>2</v>
      </c>
      <c r="D29" s="42">
        <v>68</v>
      </c>
      <c r="E29" s="42">
        <v>1201</v>
      </c>
      <c r="F29" s="42">
        <f>SUM(A$1-B29)</f>
        <v>15</v>
      </c>
      <c r="G29" s="35" t="s">
        <v>117</v>
      </c>
      <c r="H29" s="35" t="s">
        <v>118</v>
      </c>
      <c r="I29" s="35" t="s">
        <v>48</v>
      </c>
      <c r="J29" s="35" t="s">
        <v>40</v>
      </c>
      <c r="K29" s="35" t="s">
        <v>41</v>
      </c>
      <c r="L29" s="35" t="s">
        <v>37</v>
      </c>
      <c r="M29" s="35" t="s">
        <v>38</v>
      </c>
      <c r="N29" s="34" t="s">
        <v>35</v>
      </c>
    </row>
    <row r="30" spans="1:16" s="35" customFormat="1" thickBot="1" x14ac:dyDescent="0.25">
      <c r="A30" s="41">
        <v>42192.550081018519</v>
      </c>
      <c r="B30" s="41">
        <v>42192</v>
      </c>
      <c r="C30" s="42">
        <v>2</v>
      </c>
      <c r="D30" s="42">
        <v>315</v>
      </c>
      <c r="E30" s="42">
        <v>3019</v>
      </c>
      <c r="F30" s="42">
        <f>SUM(A$1-B30)</f>
        <v>9</v>
      </c>
      <c r="G30" s="35" t="s">
        <v>177</v>
      </c>
      <c r="H30" s="35" t="s">
        <v>178</v>
      </c>
      <c r="I30" s="35" t="s">
        <v>114</v>
      </c>
      <c r="J30" s="35" t="s">
        <v>40</v>
      </c>
      <c r="K30" s="65" t="s">
        <v>42</v>
      </c>
      <c r="L30" s="35" t="s">
        <v>37</v>
      </c>
      <c r="M30" s="35" t="s">
        <v>38</v>
      </c>
      <c r="N30" s="59" t="s">
        <v>35</v>
      </c>
    </row>
    <row r="31" spans="1:16" s="35" customFormat="1" thickBot="1" x14ac:dyDescent="0.25">
      <c r="A31" s="41">
        <v>42192.558530092596</v>
      </c>
      <c r="B31" s="41">
        <v>42192</v>
      </c>
      <c r="C31" s="42">
        <v>2</v>
      </c>
      <c r="D31" s="42">
        <v>315</v>
      </c>
      <c r="E31" s="42">
        <v>3019</v>
      </c>
      <c r="F31" s="42">
        <f>SUM(A$1-B31)</f>
        <v>9</v>
      </c>
      <c r="G31" s="35" t="s">
        <v>179</v>
      </c>
      <c r="H31" s="35" t="s">
        <v>180</v>
      </c>
      <c r="I31" s="35" t="s">
        <v>114</v>
      </c>
      <c r="J31" s="35" t="s">
        <v>40</v>
      </c>
      <c r="K31" s="65" t="s">
        <v>42</v>
      </c>
      <c r="L31" s="35" t="s">
        <v>37</v>
      </c>
      <c r="M31" s="35" t="s">
        <v>38</v>
      </c>
      <c r="N31" s="59"/>
    </row>
    <row r="32" spans="1:16" s="35" customFormat="1" thickBot="1" x14ac:dyDescent="0.25">
      <c r="A32" s="41">
        <v>42192.562627314815</v>
      </c>
      <c r="B32" s="41">
        <v>42192</v>
      </c>
      <c r="C32" s="42">
        <v>2</v>
      </c>
      <c r="D32" s="42">
        <v>315</v>
      </c>
      <c r="E32" s="42">
        <v>3019</v>
      </c>
      <c r="F32" s="42">
        <f>SUM(A$1-B32)</f>
        <v>9</v>
      </c>
      <c r="G32" s="35" t="s">
        <v>181</v>
      </c>
      <c r="H32" s="35" t="s">
        <v>182</v>
      </c>
      <c r="I32" s="35" t="s">
        <v>114</v>
      </c>
      <c r="J32" s="35" t="s">
        <v>40</v>
      </c>
      <c r="K32" s="65" t="s">
        <v>42</v>
      </c>
      <c r="L32" s="35" t="s">
        <v>37</v>
      </c>
      <c r="M32" s="35" t="s">
        <v>38</v>
      </c>
      <c r="N32" s="34" t="s">
        <v>35</v>
      </c>
    </row>
    <row r="33" spans="1:14" s="35" customFormat="1" thickBot="1" x14ac:dyDescent="0.25">
      <c r="A33" s="41">
        <v>42192.501226851855</v>
      </c>
      <c r="B33" s="41">
        <v>42192</v>
      </c>
      <c r="C33" s="42">
        <v>2</v>
      </c>
      <c r="D33" s="42">
        <v>316</v>
      </c>
      <c r="E33" s="42">
        <v>3017</v>
      </c>
      <c r="F33" s="42">
        <f>SUM(A$1-B33)</f>
        <v>9</v>
      </c>
      <c r="G33" s="35" t="s">
        <v>174</v>
      </c>
      <c r="H33" s="35" t="s">
        <v>175</v>
      </c>
      <c r="I33" s="35" t="s">
        <v>176</v>
      </c>
      <c r="J33" s="35" t="s">
        <v>40</v>
      </c>
      <c r="K33" s="35" t="s">
        <v>44</v>
      </c>
      <c r="L33" s="35" t="s">
        <v>37</v>
      </c>
      <c r="M33" s="35" t="s">
        <v>38</v>
      </c>
      <c r="N33" s="59" t="s">
        <v>35</v>
      </c>
    </row>
    <row r="34" spans="1:14" s="35" customFormat="1" thickBot="1" x14ac:dyDescent="0.25">
      <c r="A34" s="41">
        <v>42192.591145833336</v>
      </c>
      <c r="B34" s="41">
        <v>42192</v>
      </c>
      <c r="C34" s="42">
        <v>2</v>
      </c>
      <c r="D34" s="42">
        <v>333</v>
      </c>
      <c r="E34" s="42">
        <v>3001</v>
      </c>
      <c r="F34" s="42">
        <f>SUM(A$1-B34)</f>
        <v>9</v>
      </c>
      <c r="G34" s="35" t="s">
        <v>187</v>
      </c>
      <c r="H34" s="35" t="s">
        <v>188</v>
      </c>
      <c r="I34" s="35" t="s">
        <v>52</v>
      </c>
      <c r="J34" s="35" t="s">
        <v>40</v>
      </c>
      <c r="K34" s="65" t="s">
        <v>42</v>
      </c>
      <c r="L34" s="35" t="s">
        <v>37</v>
      </c>
      <c r="M34" s="35" t="s">
        <v>38</v>
      </c>
      <c r="N34" s="59" t="s">
        <v>35</v>
      </c>
    </row>
    <row r="35" spans="1:14" s="35" customFormat="1" thickBot="1" x14ac:dyDescent="0.25">
      <c r="A35" s="41">
        <v>42192.596030092594</v>
      </c>
      <c r="B35" s="41">
        <v>42192</v>
      </c>
      <c r="C35" s="42">
        <v>2</v>
      </c>
      <c r="D35" s="42">
        <v>333</v>
      </c>
      <c r="E35" s="42">
        <v>3003</v>
      </c>
      <c r="F35" s="42">
        <f>SUM(A$1-B35)</f>
        <v>9</v>
      </c>
      <c r="G35" s="35" t="s">
        <v>189</v>
      </c>
      <c r="H35" s="35" t="s">
        <v>190</v>
      </c>
      <c r="I35" s="35" t="s">
        <v>52</v>
      </c>
      <c r="J35" s="35" t="s">
        <v>40</v>
      </c>
      <c r="K35" s="65" t="s">
        <v>42</v>
      </c>
      <c r="L35" s="35" t="s">
        <v>37</v>
      </c>
      <c r="M35" s="35" t="s">
        <v>38</v>
      </c>
      <c r="N35" s="59" t="s">
        <v>35</v>
      </c>
    </row>
    <row r="36" spans="1:14" s="35" customFormat="1" thickBot="1" x14ac:dyDescent="0.25">
      <c r="A36" s="41">
        <v>42192.469189814816</v>
      </c>
      <c r="B36" s="41">
        <v>42192</v>
      </c>
      <c r="C36" s="42">
        <v>2</v>
      </c>
      <c r="D36" s="42">
        <v>343</v>
      </c>
      <c r="E36" s="42">
        <v>3060</v>
      </c>
      <c r="F36" s="42">
        <f>SUM(A$1-B36)</f>
        <v>9</v>
      </c>
      <c r="G36" s="35" t="s">
        <v>144</v>
      </c>
      <c r="H36" s="35" t="s">
        <v>145</v>
      </c>
      <c r="I36" s="35" t="s">
        <v>146</v>
      </c>
      <c r="J36" s="35" t="s">
        <v>40</v>
      </c>
      <c r="K36" s="65" t="s">
        <v>42</v>
      </c>
      <c r="L36" s="35" t="s">
        <v>37</v>
      </c>
      <c r="M36" s="35" t="s">
        <v>38</v>
      </c>
      <c r="N36" s="34" t="s">
        <v>35</v>
      </c>
    </row>
    <row r="37" spans="1:14" s="35" customFormat="1" thickBot="1" x14ac:dyDescent="0.25">
      <c r="A37" s="41">
        <v>42192.479143518518</v>
      </c>
      <c r="B37" s="41">
        <v>42192</v>
      </c>
      <c r="C37" s="42">
        <v>2</v>
      </c>
      <c r="D37" s="42">
        <v>343</v>
      </c>
      <c r="E37" s="42">
        <v>3060</v>
      </c>
      <c r="F37" s="42">
        <f>SUM(A$1-B37)</f>
        <v>9</v>
      </c>
      <c r="G37" s="35" t="s">
        <v>163</v>
      </c>
      <c r="H37" s="35" t="s">
        <v>164</v>
      </c>
      <c r="I37" s="35" t="s">
        <v>146</v>
      </c>
      <c r="J37" s="35" t="s">
        <v>40</v>
      </c>
      <c r="K37" s="65" t="s">
        <v>42</v>
      </c>
      <c r="L37" s="35" t="s">
        <v>37</v>
      </c>
      <c r="M37" s="35" t="s">
        <v>38</v>
      </c>
      <c r="N37" s="34" t="s">
        <v>35</v>
      </c>
    </row>
    <row r="38" spans="1:14" s="35" customFormat="1" thickBot="1" x14ac:dyDescent="0.25">
      <c r="A38" s="41">
        <v>42186.52076388889</v>
      </c>
      <c r="B38" s="41">
        <v>42186</v>
      </c>
      <c r="C38" s="42">
        <v>2</v>
      </c>
      <c r="D38" s="42">
        <v>356</v>
      </c>
      <c r="E38" s="42">
        <v>3004</v>
      </c>
      <c r="F38" s="42">
        <f>SUM(A$1-B38)</f>
        <v>15</v>
      </c>
      <c r="G38" s="35" t="s">
        <v>119</v>
      </c>
      <c r="H38" s="35" t="s">
        <v>120</v>
      </c>
      <c r="I38" s="35" t="s">
        <v>101</v>
      </c>
      <c r="J38" s="35" t="s">
        <v>40</v>
      </c>
      <c r="K38" s="35" t="s">
        <v>41</v>
      </c>
      <c r="L38" s="35" t="s">
        <v>37</v>
      </c>
      <c r="M38" s="35" t="s">
        <v>38</v>
      </c>
      <c r="N38" s="59" t="s">
        <v>35</v>
      </c>
    </row>
    <row r="39" spans="1:14" s="35" customFormat="1" thickBot="1" x14ac:dyDescent="0.25">
      <c r="A39" s="41">
        <v>42192.433263888888</v>
      </c>
      <c r="B39" s="41">
        <v>42192</v>
      </c>
      <c r="C39" s="42">
        <v>3</v>
      </c>
      <c r="D39" s="42">
        <v>5</v>
      </c>
      <c r="E39" s="42">
        <v>283</v>
      </c>
      <c r="F39" s="42">
        <f>SUM(A$1-B39)</f>
        <v>9</v>
      </c>
      <c r="G39" s="35" t="s">
        <v>125</v>
      </c>
      <c r="H39" s="35" t="s">
        <v>126</v>
      </c>
      <c r="I39" s="35" t="s">
        <v>127</v>
      </c>
      <c r="J39" s="35" t="s">
        <v>18</v>
      </c>
      <c r="K39" s="35" t="s">
        <v>41</v>
      </c>
      <c r="L39" s="35" t="s">
        <v>37</v>
      </c>
      <c r="M39" s="35" t="s">
        <v>43</v>
      </c>
      <c r="N39" s="59" t="s">
        <v>35</v>
      </c>
    </row>
    <row r="40" spans="1:14" s="35" customFormat="1" thickBot="1" x14ac:dyDescent="0.25">
      <c r="A40" s="41">
        <v>42192.437905092593</v>
      </c>
      <c r="B40" s="41">
        <v>42192</v>
      </c>
      <c r="C40" s="42">
        <v>3</v>
      </c>
      <c r="D40" s="42">
        <v>5</v>
      </c>
      <c r="E40" s="42">
        <v>290</v>
      </c>
      <c r="F40" s="42">
        <f>SUM(A$1-B40)</f>
        <v>9</v>
      </c>
      <c r="G40" s="35" t="s">
        <v>128</v>
      </c>
      <c r="H40" s="35" t="s">
        <v>129</v>
      </c>
      <c r="I40" s="35" t="s">
        <v>127</v>
      </c>
      <c r="J40" s="35" t="s">
        <v>18</v>
      </c>
      <c r="K40" s="35" t="s">
        <v>41</v>
      </c>
      <c r="L40" s="35" t="s">
        <v>37</v>
      </c>
      <c r="M40" s="35" t="s">
        <v>43</v>
      </c>
      <c r="N40" s="59" t="s">
        <v>35</v>
      </c>
    </row>
    <row r="41" spans="1:14" s="35" customFormat="1" thickBot="1" x14ac:dyDescent="0.25">
      <c r="A41" s="41">
        <v>42195.356886574074</v>
      </c>
      <c r="B41" s="41">
        <v>42150</v>
      </c>
      <c r="C41" s="42">
        <v>3</v>
      </c>
      <c r="D41" s="42">
        <v>5</v>
      </c>
      <c r="E41" s="42">
        <v>414</v>
      </c>
      <c r="F41" s="42">
        <f>SUM(A$1-B41)</f>
        <v>51</v>
      </c>
      <c r="G41" s="35" t="s">
        <v>193</v>
      </c>
      <c r="H41" s="35" t="s">
        <v>194</v>
      </c>
      <c r="I41" s="35" t="s">
        <v>127</v>
      </c>
      <c r="J41" s="35" t="s">
        <v>18</v>
      </c>
      <c r="K41" s="35" t="s">
        <v>41</v>
      </c>
      <c r="L41" s="35" t="s">
        <v>37</v>
      </c>
      <c r="M41" s="35" t="s">
        <v>38</v>
      </c>
      <c r="N41" s="59" t="s">
        <v>35</v>
      </c>
    </row>
    <row r="42" spans="1:14" s="35" customFormat="1" thickBot="1" x14ac:dyDescent="0.25">
      <c r="A42" s="41">
        <v>42178.411215277774</v>
      </c>
      <c r="B42" s="41">
        <v>42178</v>
      </c>
      <c r="C42" s="42">
        <v>3</v>
      </c>
      <c r="D42" s="42">
        <v>10</v>
      </c>
      <c r="E42" s="42">
        <v>81</v>
      </c>
      <c r="F42" s="42">
        <f>SUM(A$1-B42)</f>
        <v>23</v>
      </c>
      <c r="G42" s="35" t="s">
        <v>87</v>
      </c>
      <c r="H42" s="35" t="s">
        <v>88</v>
      </c>
      <c r="I42" s="35" t="s">
        <v>66</v>
      </c>
      <c r="J42" s="35" t="s">
        <v>18</v>
      </c>
      <c r="K42" s="65" t="s">
        <v>39</v>
      </c>
      <c r="L42" s="35" t="s">
        <v>37</v>
      </c>
      <c r="M42" s="35" t="s">
        <v>43</v>
      </c>
      <c r="N42" s="59" t="s">
        <v>35</v>
      </c>
    </row>
    <row r="43" spans="1:14" s="35" customFormat="1" thickBot="1" x14ac:dyDescent="0.25">
      <c r="A43" s="41">
        <v>42179.637453703705</v>
      </c>
      <c r="B43" s="41">
        <v>42179</v>
      </c>
      <c r="C43" s="42">
        <v>3</v>
      </c>
      <c r="D43" s="42">
        <v>13</v>
      </c>
      <c r="E43" s="42">
        <v>208</v>
      </c>
      <c r="F43" s="42">
        <f>SUM(A$1-B43)</f>
        <v>22</v>
      </c>
      <c r="G43" s="35" t="s">
        <v>95</v>
      </c>
      <c r="H43" s="35" t="s">
        <v>96</v>
      </c>
      <c r="I43" s="35" t="s">
        <v>74</v>
      </c>
      <c r="J43" s="35" t="s">
        <v>18</v>
      </c>
      <c r="K43" s="35" t="s">
        <v>44</v>
      </c>
      <c r="L43" s="35" t="s">
        <v>37</v>
      </c>
      <c r="M43" s="35" t="s">
        <v>43</v>
      </c>
      <c r="N43" s="59"/>
    </row>
    <row r="44" spans="1:14" s="35" customFormat="1" thickBot="1" x14ac:dyDescent="0.25">
      <c r="A44" s="41">
        <v>42180.711180555554</v>
      </c>
      <c r="B44" s="41">
        <v>42180</v>
      </c>
      <c r="C44" s="42">
        <v>3</v>
      </c>
      <c r="D44" s="42">
        <v>13</v>
      </c>
      <c r="E44" s="42">
        <v>217</v>
      </c>
      <c r="F44" s="42">
        <f>SUM(A$1-B44)</f>
        <v>21</v>
      </c>
      <c r="G44" s="35" t="s">
        <v>97</v>
      </c>
      <c r="H44" s="35" t="s">
        <v>98</v>
      </c>
      <c r="I44" s="35" t="s">
        <v>74</v>
      </c>
      <c r="J44" s="35" t="s">
        <v>18</v>
      </c>
      <c r="K44" s="35" t="s">
        <v>41</v>
      </c>
      <c r="L44" s="35" t="s">
        <v>37</v>
      </c>
      <c r="M44" s="35" t="s">
        <v>38</v>
      </c>
      <c r="N44" s="59" t="s">
        <v>35</v>
      </c>
    </row>
    <row r="45" spans="1:14" s="35" customFormat="1" thickBot="1" x14ac:dyDescent="0.25">
      <c r="A45" s="41">
        <v>42192.479861111111</v>
      </c>
      <c r="B45" s="41">
        <v>42192</v>
      </c>
      <c r="C45" s="42">
        <v>3</v>
      </c>
      <c r="D45" s="42">
        <v>20</v>
      </c>
      <c r="E45" s="42">
        <v>1093</v>
      </c>
      <c r="F45" s="42">
        <f>SUM(A$1-B45)</f>
        <v>9</v>
      </c>
      <c r="G45" s="35" t="s">
        <v>165</v>
      </c>
      <c r="H45" s="35" t="s">
        <v>166</v>
      </c>
      <c r="I45" s="35" t="s">
        <v>167</v>
      </c>
      <c r="J45" s="35" t="s">
        <v>18</v>
      </c>
      <c r="K45" s="35" t="s">
        <v>41</v>
      </c>
      <c r="L45" s="35" t="s">
        <v>37</v>
      </c>
      <c r="M45" s="35" t="s">
        <v>43</v>
      </c>
      <c r="N45" s="34" t="s">
        <v>35</v>
      </c>
    </row>
    <row r="46" spans="1:14" s="35" customFormat="1" thickBot="1" x14ac:dyDescent="0.25">
      <c r="A46" s="41">
        <v>42192.472418981481</v>
      </c>
      <c r="B46" s="41">
        <v>42192</v>
      </c>
      <c r="C46" s="42">
        <v>3</v>
      </c>
      <c r="D46" s="42">
        <v>59</v>
      </c>
      <c r="E46" s="42">
        <v>1028</v>
      </c>
      <c r="F46" s="42">
        <f>SUM(A$1-B46)</f>
        <v>9</v>
      </c>
      <c r="G46" s="35" t="s">
        <v>151</v>
      </c>
      <c r="H46" s="35" t="s">
        <v>152</v>
      </c>
      <c r="I46" s="35" t="s">
        <v>153</v>
      </c>
      <c r="J46" s="35" t="s">
        <v>18</v>
      </c>
      <c r="K46" s="35" t="s">
        <v>41</v>
      </c>
      <c r="L46" s="35" t="s">
        <v>37</v>
      </c>
      <c r="M46" s="35" t="s">
        <v>43</v>
      </c>
      <c r="N46" s="59" t="s">
        <v>35</v>
      </c>
    </row>
    <row r="47" spans="1:14" s="35" customFormat="1" thickBot="1" x14ac:dyDescent="0.25">
      <c r="A47" s="41">
        <v>42192.498333333337</v>
      </c>
      <c r="B47" s="41">
        <v>42192</v>
      </c>
      <c r="C47" s="42">
        <v>3</v>
      </c>
      <c r="D47" s="42">
        <v>322</v>
      </c>
      <c r="E47" s="42">
        <v>3089</v>
      </c>
      <c r="F47" s="42">
        <f>SUM(A$1-B47)</f>
        <v>9</v>
      </c>
      <c r="G47" s="35" t="s">
        <v>172</v>
      </c>
      <c r="H47" s="35" t="s">
        <v>173</v>
      </c>
      <c r="I47" s="35" t="s">
        <v>127</v>
      </c>
      <c r="J47" s="35" t="s">
        <v>18</v>
      </c>
      <c r="K47" s="35" t="s">
        <v>41</v>
      </c>
      <c r="L47" s="35" t="s">
        <v>37</v>
      </c>
      <c r="M47" s="35" t="s">
        <v>43</v>
      </c>
      <c r="N47" s="59"/>
    </row>
    <row r="48" spans="1:14" s="35" customFormat="1" thickBot="1" x14ac:dyDescent="0.25">
      <c r="A48" s="41">
        <v>42201.687395833331</v>
      </c>
      <c r="B48" s="41">
        <v>42201</v>
      </c>
      <c r="C48" s="42">
        <v>4</v>
      </c>
      <c r="D48" s="42">
        <v>3</v>
      </c>
      <c r="E48" s="42">
        <v>1012</v>
      </c>
      <c r="F48" s="42">
        <f>SUM(A$1-B48)</f>
        <v>0</v>
      </c>
      <c r="G48" s="35" t="s">
        <v>231</v>
      </c>
      <c r="H48" s="35" t="s">
        <v>232</v>
      </c>
      <c r="I48" s="35" t="s">
        <v>86</v>
      </c>
      <c r="J48" s="35" t="s">
        <v>22</v>
      </c>
      <c r="K48" s="65" t="s">
        <v>42</v>
      </c>
      <c r="L48" s="35" t="s">
        <v>37</v>
      </c>
      <c r="M48" s="35" t="s">
        <v>38</v>
      </c>
      <c r="N48" s="59" t="s">
        <v>35</v>
      </c>
    </row>
    <row r="49" spans="1:23" s="35" customFormat="1" thickBot="1" x14ac:dyDescent="0.25">
      <c r="A49" s="41">
        <v>42186.399872685186</v>
      </c>
      <c r="B49" s="41">
        <v>42186</v>
      </c>
      <c r="C49" s="42">
        <v>4</v>
      </c>
      <c r="D49" s="42">
        <v>6</v>
      </c>
      <c r="E49" s="42">
        <v>93</v>
      </c>
      <c r="F49" s="42">
        <f>SUM(A$1-B49)</f>
        <v>15</v>
      </c>
      <c r="G49" s="35" t="s">
        <v>107</v>
      </c>
      <c r="H49" s="35" t="s">
        <v>108</v>
      </c>
      <c r="I49" s="35" t="s">
        <v>109</v>
      </c>
      <c r="J49" s="35" t="s">
        <v>22</v>
      </c>
      <c r="K49" s="35" t="s">
        <v>41</v>
      </c>
      <c r="L49" s="35" t="s">
        <v>37</v>
      </c>
      <c r="M49" s="35" t="s">
        <v>38</v>
      </c>
      <c r="N49" s="34" t="s">
        <v>35</v>
      </c>
    </row>
    <row r="50" spans="1:23" s="35" customFormat="1" thickBot="1" x14ac:dyDescent="0.25">
      <c r="A50" s="41">
        <v>42158.402187500003</v>
      </c>
      <c r="B50" s="41">
        <v>42158</v>
      </c>
      <c r="C50" s="42">
        <v>4</v>
      </c>
      <c r="D50" s="42">
        <v>14</v>
      </c>
      <c r="E50" s="42">
        <v>280</v>
      </c>
      <c r="F50" s="42">
        <f>SUM(A$1-B50)</f>
        <v>43</v>
      </c>
      <c r="G50" s="35" t="s">
        <v>55</v>
      </c>
      <c r="H50" s="35" t="s">
        <v>56</v>
      </c>
      <c r="I50" s="35" t="s">
        <v>51</v>
      </c>
      <c r="J50" s="35" t="s">
        <v>22</v>
      </c>
      <c r="K50" s="35" t="s">
        <v>41</v>
      </c>
      <c r="L50" s="35" t="s">
        <v>37</v>
      </c>
      <c r="M50" s="35" t="s">
        <v>38</v>
      </c>
      <c r="N50" s="34" t="s">
        <v>35</v>
      </c>
    </row>
    <row r="51" spans="1:23" s="35" customFormat="1" thickBot="1" x14ac:dyDescent="0.25">
      <c r="A51" s="41">
        <v>42186.40421296296</v>
      </c>
      <c r="B51" s="41">
        <v>42186</v>
      </c>
      <c r="C51" s="42">
        <v>4</v>
      </c>
      <c r="D51" s="42">
        <v>14</v>
      </c>
      <c r="E51" s="42">
        <v>146</v>
      </c>
      <c r="F51" s="42">
        <f>SUM(A$1-B51)</f>
        <v>15</v>
      </c>
      <c r="G51" s="35" t="s">
        <v>110</v>
      </c>
      <c r="H51" s="35" t="s">
        <v>111</v>
      </c>
      <c r="I51" s="35" t="s">
        <v>51</v>
      </c>
      <c r="J51" s="35" t="s">
        <v>22</v>
      </c>
      <c r="K51" s="35" t="s">
        <v>41</v>
      </c>
      <c r="L51" s="35" t="s">
        <v>37</v>
      </c>
      <c r="M51" s="35" t="s">
        <v>38</v>
      </c>
      <c r="N51" s="59" t="s">
        <v>35</v>
      </c>
    </row>
    <row r="52" spans="1:23" s="35" customFormat="1" thickBot="1" x14ac:dyDescent="0.25">
      <c r="A52" s="41">
        <v>42186.397361111114</v>
      </c>
      <c r="B52" s="41">
        <v>42186</v>
      </c>
      <c r="C52" s="42">
        <v>4</v>
      </c>
      <c r="D52" s="42">
        <v>56</v>
      </c>
      <c r="E52" s="42">
        <v>89</v>
      </c>
      <c r="F52" s="42">
        <f>SUM(A$1-B52)</f>
        <v>15</v>
      </c>
      <c r="G52" s="35" t="s">
        <v>104</v>
      </c>
      <c r="H52" s="35" t="s">
        <v>105</v>
      </c>
      <c r="I52" s="35" t="s">
        <v>106</v>
      </c>
      <c r="J52" s="35" t="s">
        <v>22</v>
      </c>
      <c r="K52" s="35" t="s">
        <v>41</v>
      </c>
      <c r="L52" s="35" t="s">
        <v>37</v>
      </c>
      <c r="M52" s="35" t="s">
        <v>38</v>
      </c>
      <c r="N52" s="75" t="s">
        <v>35</v>
      </c>
    </row>
    <row r="53" spans="1:23" s="35" customFormat="1" thickBot="1" x14ac:dyDescent="0.25">
      <c r="A53" s="41">
        <v>42201.330509259256</v>
      </c>
      <c r="B53" s="41">
        <v>42201</v>
      </c>
      <c r="C53" s="42">
        <v>6</v>
      </c>
      <c r="D53" s="42">
        <v>1</v>
      </c>
      <c r="E53" s="42">
        <v>30</v>
      </c>
      <c r="F53" s="42">
        <f>SUM(A$1-B53)</f>
        <v>0</v>
      </c>
      <c r="G53" s="35" t="s">
        <v>227</v>
      </c>
      <c r="H53" s="35" t="s">
        <v>228</v>
      </c>
      <c r="I53" s="35" t="s">
        <v>229</v>
      </c>
      <c r="J53" s="35" t="s">
        <v>19</v>
      </c>
      <c r="K53" s="65" t="s">
        <v>230</v>
      </c>
      <c r="L53" s="35" t="s">
        <v>37</v>
      </c>
      <c r="M53" s="35" t="s">
        <v>43</v>
      </c>
      <c r="N53" s="75" t="s">
        <v>35</v>
      </c>
    </row>
    <row r="54" spans="1:23" s="35" customFormat="1" thickBot="1" x14ac:dyDescent="0.25">
      <c r="A54" s="41">
        <v>42184.575844907406</v>
      </c>
      <c r="B54" s="41">
        <v>42184</v>
      </c>
      <c r="C54" s="42">
        <v>6</v>
      </c>
      <c r="D54" s="42">
        <v>21</v>
      </c>
      <c r="E54" s="42">
        <v>295</v>
      </c>
      <c r="F54" s="42">
        <f>SUM(A$1-B54)</f>
        <v>17</v>
      </c>
      <c r="G54" s="35" t="s">
        <v>102</v>
      </c>
      <c r="H54" s="35" t="s">
        <v>103</v>
      </c>
      <c r="I54" s="35" t="s">
        <v>63</v>
      </c>
      <c r="J54" s="35" t="s">
        <v>19</v>
      </c>
      <c r="K54" s="65" t="s">
        <v>39</v>
      </c>
      <c r="L54" s="35" t="s">
        <v>37</v>
      </c>
      <c r="M54" s="35" t="s">
        <v>38</v>
      </c>
      <c r="N54" s="75" t="s">
        <v>35</v>
      </c>
    </row>
    <row r="55" spans="1:23" s="35" customFormat="1" thickBot="1" x14ac:dyDescent="0.25">
      <c r="A55" s="41">
        <v>42179.496238425927</v>
      </c>
      <c r="B55" s="41">
        <v>42179</v>
      </c>
      <c r="C55" s="42">
        <v>6</v>
      </c>
      <c r="D55" s="42">
        <v>22</v>
      </c>
      <c r="E55" s="42">
        <v>612</v>
      </c>
      <c r="F55" s="42">
        <f>SUM(A$1-B55)</f>
        <v>22</v>
      </c>
      <c r="G55" s="35" t="s">
        <v>91</v>
      </c>
      <c r="H55" s="35" t="s">
        <v>92</v>
      </c>
      <c r="I55" s="35" t="s">
        <v>93</v>
      </c>
      <c r="J55" s="35" t="s">
        <v>19</v>
      </c>
      <c r="K55" s="65" t="s">
        <v>94</v>
      </c>
      <c r="L55" s="35" t="s">
        <v>37</v>
      </c>
      <c r="M55" s="35" t="s">
        <v>38</v>
      </c>
      <c r="N55" s="75" t="s">
        <v>35</v>
      </c>
    </row>
    <row r="56" spans="1:23" s="35" customFormat="1" thickBot="1" x14ac:dyDescent="0.25">
      <c r="A56" s="41">
        <v>42158.410104166665</v>
      </c>
      <c r="B56" s="41">
        <v>42158</v>
      </c>
      <c r="C56" s="42">
        <v>6</v>
      </c>
      <c r="D56" s="42">
        <v>52</v>
      </c>
      <c r="E56" s="42">
        <v>319</v>
      </c>
      <c r="F56" s="42">
        <f>SUM(A$1-B56)</f>
        <v>43</v>
      </c>
      <c r="G56" s="35" t="s">
        <v>57</v>
      </c>
      <c r="H56" s="35" t="s">
        <v>58</v>
      </c>
      <c r="I56" s="35" t="s">
        <v>53</v>
      </c>
      <c r="J56" s="35" t="s">
        <v>19</v>
      </c>
      <c r="K56" s="35" t="s">
        <v>41</v>
      </c>
      <c r="L56" s="35" t="s">
        <v>37</v>
      </c>
      <c r="M56" s="35" t="s">
        <v>38</v>
      </c>
      <c r="N56" s="75" t="s">
        <v>35</v>
      </c>
    </row>
    <row r="57" spans="1:23" s="35" customFormat="1" thickBot="1" x14ac:dyDescent="0.25">
      <c r="A57" s="41">
        <v>42200.692546296297</v>
      </c>
      <c r="B57" s="41">
        <v>42200</v>
      </c>
      <c r="C57" s="42">
        <v>6</v>
      </c>
      <c r="D57" s="42">
        <v>58</v>
      </c>
      <c r="E57" s="42">
        <v>1108</v>
      </c>
      <c r="F57" s="42">
        <f>SUM(A$1-B57)</f>
        <v>1</v>
      </c>
      <c r="G57" s="35" t="s">
        <v>222</v>
      </c>
      <c r="H57" s="35" t="s">
        <v>223</v>
      </c>
      <c r="I57" s="35" t="s">
        <v>49</v>
      </c>
      <c r="J57" s="35" t="s">
        <v>19</v>
      </c>
      <c r="K57" s="35" t="s">
        <v>44</v>
      </c>
      <c r="L57" s="35" t="s">
        <v>37</v>
      </c>
      <c r="M57" s="35" t="s">
        <v>38</v>
      </c>
      <c r="N57" s="75" t="s">
        <v>35</v>
      </c>
    </row>
    <row r="58" spans="1:23" s="35" customFormat="1" thickBot="1" x14ac:dyDescent="0.25">
      <c r="A58" s="41">
        <v>42195.609988425924</v>
      </c>
      <c r="B58" s="41">
        <v>42195</v>
      </c>
      <c r="C58" s="42">
        <v>6</v>
      </c>
      <c r="D58" s="42">
        <v>58</v>
      </c>
      <c r="E58" s="42">
        <v>105</v>
      </c>
      <c r="F58" s="42">
        <f>SUM(A$1-B58)</f>
        <v>6</v>
      </c>
      <c r="G58" s="35" t="s">
        <v>195</v>
      </c>
      <c r="H58" s="35" t="s">
        <v>196</v>
      </c>
      <c r="I58" s="35" t="s">
        <v>49</v>
      </c>
      <c r="J58" s="35" t="s">
        <v>19</v>
      </c>
      <c r="K58" s="65" t="s">
        <v>39</v>
      </c>
      <c r="L58" s="35" t="s">
        <v>37</v>
      </c>
      <c r="M58" s="35" t="s">
        <v>38</v>
      </c>
      <c r="N58" s="75" t="s">
        <v>35</v>
      </c>
    </row>
    <row r="59" spans="1:23" s="35" customFormat="1" thickBot="1" x14ac:dyDescent="0.25">
      <c r="A59" s="41">
        <v>42158.501504629632</v>
      </c>
      <c r="B59" s="41">
        <v>42158</v>
      </c>
      <c r="C59" s="42">
        <v>6</v>
      </c>
      <c r="D59" s="42">
        <v>58</v>
      </c>
      <c r="E59" s="42">
        <v>1108</v>
      </c>
      <c r="F59" s="42">
        <f>SUM(A$1-B59)</f>
        <v>43</v>
      </c>
      <c r="G59" s="35" t="s">
        <v>59</v>
      </c>
      <c r="H59" s="35" t="s">
        <v>60</v>
      </c>
      <c r="I59" s="35" t="s">
        <v>49</v>
      </c>
      <c r="J59" s="35" t="s">
        <v>19</v>
      </c>
      <c r="K59" s="35" t="s">
        <v>41</v>
      </c>
      <c r="L59" s="35" t="s">
        <v>37</v>
      </c>
      <c r="M59" s="35" t="s">
        <v>38</v>
      </c>
      <c r="N59" s="75" t="s">
        <v>35</v>
      </c>
    </row>
    <row r="60" spans="1:23" s="35" customFormat="1" thickBot="1" x14ac:dyDescent="0.25">
      <c r="A60" s="41">
        <v>42192.450868055559</v>
      </c>
      <c r="B60" s="41">
        <v>42192</v>
      </c>
      <c r="C60" s="42">
        <v>7</v>
      </c>
      <c r="D60" s="42">
        <v>28</v>
      </c>
      <c r="E60" s="42">
        <v>325</v>
      </c>
      <c r="F60" s="42">
        <f>SUM(A$1-B60)</f>
        <v>9</v>
      </c>
      <c r="G60" s="35" t="s">
        <v>133</v>
      </c>
      <c r="H60" s="35" t="s">
        <v>134</v>
      </c>
      <c r="I60" s="35" t="s">
        <v>76</v>
      </c>
      <c r="J60" s="35" t="s">
        <v>29</v>
      </c>
      <c r="K60" s="35" t="s">
        <v>41</v>
      </c>
      <c r="L60" s="35" t="s">
        <v>37</v>
      </c>
      <c r="M60" s="35" t="s">
        <v>43</v>
      </c>
      <c r="N60" s="75" t="s">
        <v>35</v>
      </c>
    </row>
    <row r="61" spans="1:23" s="35" customFormat="1" thickBot="1" x14ac:dyDescent="0.25">
      <c r="A61" s="41">
        <v>42160.619537037041</v>
      </c>
      <c r="B61" s="41">
        <v>42160</v>
      </c>
      <c r="C61" s="42">
        <v>7</v>
      </c>
      <c r="D61" s="42">
        <v>32</v>
      </c>
      <c r="E61" s="42">
        <v>235</v>
      </c>
      <c r="F61" s="42">
        <f>SUM(A$1-B61)</f>
        <v>41</v>
      </c>
      <c r="G61" s="35" t="s">
        <v>72</v>
      </c>
      <c r="H61" s="35" t="s">
        <v>73</v>
      </c>
      <c r="I61" s="35" t="s">
        <v>47</v>
      </c>
      <c r="J61" s="35" t="s">
        <v>29</v>
      </c>
      <c r="K61" s="35" t="s">
        <v>41</v>
      </c>
      <c r="L61" s="35" t="s">
        <v>37</v>
      </c>
      <c r="M61" s="35" t="s">
        <v>43</v>
      </c>
      <c r="N61" s="75"/>
    </row>
    <row r="62" spans="1:23" s="35" customFormat="1" thickBot="1" x14ac:dyDescent="0.25">
      <c r="A62" s="41">
        <v>42192.410856481481</v>
      </c>
      <c r="B62" s="41">
        <v>42192</v>
      </c>
      <c r="C62" s="42">
        <v>7</v>
      </c>
      <c r="D62" s="42">
        <v>32</v>
      </c>
      <c r="E62" s="42">
        <v>235</v>
      </c>
      <c r="F62" s="42">
        <f>SUM(A$1-B62)</f>
        <v>9</v>
      </c>
      <c r="G62" s="35" t="s">
        <v>121</v>
      </c>
      <c r="H62" s="35" t="s">
        <v>122</v>
      </c>
      <c r="I62" s="35" t="s">
        <v>47</v>
      </c>
      <c r="J62" s="35" t="s">
        <v>29</v>
      </c>
      <c r="K62" s="35" t="s">
        <v>41</v>
      </c>
      <c r="L62" s="35" t="s">
        <v>37</v>
      </c>
      <c r="M62" s="35" t="s">
        <v>43</v>
      </c>
      <c r="N62" s="75" t="s">
        <v>35</v>
      </c>
    </row>
    <row r="63" spans="1:23" s="35" customFormat="1" thickBot="1" x14ac:dyDescent="0.25">
      <c r="A63" s="41">
        <v>42192.431574074071</v>
      </c>
      <c r="B63" s="41">
        <v>42192</v>
      </c>
      <c r="C63" s="42">
        <v>7</v>
      </c>
      <c r="D63" s="42">
        <v>32</v>
      </c>
      <c r="E63" s="42">
        <v>235</v>
      </c>
      <c r="F63" s="42">
        <f>SUM(A$1-B63)</f>
        <v>9</v>
      </c>
      <c r="G63" s="35" t="s">
        <v>123</v>
      </c>
      <c r="H63" s="35" t="s">
        <v>124</v>
      </c>
      <c r="I63" s="35" t="s">
        <v>47</v>
      </c>
      <c r="J63" s="35" t="s">
        <v>29</v>
      </c>
      <c r="K63" s="35" t="s">
        <v>41</v>
      </c>
      <c r="L63" s="35" t="s">
        <v>37</v>
      </c>
      <c r="M63" s="35" t="s">
        <v>43</v>
      </c>
      <c r="N63" s="75"/>
      <c r="P63" s="27"/>
      <c r="Q63" s="29"/>
      <c r="R63" s="29"/>
      <c r="S63" s="29"/>
      <c r="T63" s="29"/>
      <c r="U63" s="29"/>
      <c r="V63" s="29"/>
      <c r="W63" s="29"/>
    </row>
    <row r="64" spans="1:23" s="35" customFormat="1" thickBot="1" x14ac:dyDescent="0.25">
      <c r="A64" s="41">
        <v>42192.468113425923</v>
      </c>
      <c r="B64" s="41">
        <v>42192</v>
      </c>
      <c r="C64" s="42">
        <v>7</v>
      </c>
      <c r="D64" s="42">
        <v>50</v>
      </c>
      <c r="E64" s="42">
        <v>684</v>
      </c>
      <c r="F64" s="42">
        <f>SUM(A$1-B64)</f>
        <v>9</v>
      </c>
      <c r="G64" s="35" t="s">
        <v>141</v>
      </c>
      <c r="H64" s="35" t="s">
        <v>142</v>
      </c>
      <c r="I64" s="35" t="s">
        <v>143</v>
      </c>
      <c r="J64" s="35" t="s">
        <v>29</v>
      </c>
      <c r="K64" s="35" t="s">
        <v>41</v>
      </c>
      <c r="L64" s="35" t="s">
        <v>37</v>
      </c>
      <c r="M64" s="35" t="s">
        <v>43</v>
      </c>
      <c r="N64" s="75"/>
    </row>
    <row r="65" spans="1:14" s="35" customFormat="1" thickBot="1" x14ac:dyDescent="0.25">
      <c r="A65" s="41">
        <v>42192.492951388886</v>
      </c>
      <c r="B65" s="41">
        <v>42192</v>
      </c>
      <c r="C65" s="42">
        <v>7</v>
      </c>
      <c r="D65" s="42">
        <v>50</v>
      </c>
      <c r="E65" s="42">
        <v>1168</v>
      </c>
      <c r="F65" s="42">
        <f>SUM(A$1-B65)</f>
        <v>9</v>
      </c>
      <c r="G65" s="35" t="s">
        <v>170</v>
      </c>
      <c r="H65" s="35" t="s">
        <v>171</v>
      </c>
      <c r="I65" s="35" t="s">
        <v>143</v>
      </c>
      <c r="J65" s="35" t="s">
        <v>29</v>
      </c>
      <c r="K65" s="35" t="s">
        <v>41</v>
      </c>
      <c r="L65" s="35" t="s">
        <v>37</v>
      </c>
      <c r="M65" s="35" t="s">
        <v>43</v>
      </c>
      <c r="N65" s="59" t="s">
        <v>35</v>
      </c>
    </row>
    <row r="66" spans="1:14" s="35" customFormat="1" thickBot="1" x14ac:dyDescent="0.25">
      <c r="A66" s="41">
        <v>42192.440601851849</v>
      </c>
      <c r="B66" s="41">
        <v>42192</v>
      </c>
      <c r="C66" s="42">
        <v>7</v>
      </c>
      <c r="D66" s="42">
        <v>67</v>
      </c>
      <c r="E66" s="42">
        <v>324</v>
      </c>
      <c r="F66" s="42">
        <f>SUM(A$1-B66)</f>
        <v>9</v>
      </c>
      <c r="G66" s="35" t="s">
        <v>130</v>
      </c>
      <c r="H66" s="35" t="s">
        <v>131</v>
      </c>
      <c r="I66" s="35" t="s">
        <v>132</v>
      </c>
      <c r="J66" s="35" t="s">
        <v>29</v>
      </c>
      <c r="K66" s="35" t="s">
        <v>41</v>
      </c>
      <c r="L66" s="35" t="s">
        <v>37</v>
      </c>
      <c r="M66" s="35" t="s">
        <v>43</v>
      </c>
      <c r="N66" s="59" t="s">
        <v>35</v>
      </c>
    </row>
    <row r="67" spans="1:14" s="35" customFormat="1" thickBot="1" x14ac:dyDescent="0.25">
      <c r="A67" s="41">
        <v>42192.572511574072</v>
      </c>
      <c r="B67" s="41">
        <v>42192</v>
      </c>
      <c r="C67" s="42">
        <v>7</v>
      </c>
      <c r="D67" s="42">
        <v>325</v>
      </c>
      <c r="E67" s="42">
        <v>3074</v>
      </c>
      <c r="F67" s="42">
        <f>SUM(A$1-B67)</f>
        <v>9</v>
      </c>
      <c r="G67" s="35" t="s">
        <v>183</v>
      </c>
      <c r="H67" s="35" t="s">
        <v>184</v>
      </c>
      <c r="I67" s="35" t="s">
        <v>143</v>
      </c>
      <c r="J67" s="35" t="s">
        <v>29</v>
      </c>
      <c r="K67" s="65" t="s">
        <v>42</v>
      </c>
      <c r="L67" s="35" t="s">
        <v>37</v>
      </c>
      <c r="M67" s="35" t="s">
        <v>38</v>
      </c>
      <c r="N67" s="34"/>
    </row>
    <row r="68" spans="1:14" s="35" customFormat="1" thickBot="1" x14ac:dyDescent="0.25">
      <c r="A68" s="41">
        <v>42192.578842592593</v>
      </c>
      <c r="B68" s="41">
        <v>42192</v>
      </c>
      <c r="C68" s="42">
        <v>7</v>
      </c>
      <c r="D68" s="42">
        <v>325</v>
      </c>
      <c r="E68" s="42">
        <v>3074</v>
      </c>
      <c r="F68" s="42">
        <f>SUM(A$1-B68)</f>
        <v>9</v>
      </c>
      <c r="G68" s="35" t="s">
        <v>185</v>
      </c>
      <c r="H68" s="35" t="s">
        <v>186</v>
      </c>
      <c r="I68" s="35" t="s">
        <v>143</v>
      </c>
      <c r="J68" s="35" t="s">
        <v>29</v>
      </c>
      <c r="K68" s="65" t="s">
        <v>42</v>
      </c>
      <c r="L68" s="35" t="s">
        <v>37</v>
      </c>
      <c r="M68" s="35" t="s">
        <v>38</v>
      </c>
      <c r="N68" s="59" t="s">
        <v>35</v>
      </c>
    </row>
    <row r="69" spans="1:14" s="35" customFormat="1" thickBot="1" x14ac:dyDescent="0.25">
      <c r="A69" s="41">
        <v>42160.604745370372</v>
      </c>
      <c r="B69" s="41">
        <v>42160</v>
      </c>
      <c r="C69" s="42">
        <v>9</v>
      </c>
      <c r="D69" s="42">
        <v>12</v>
      </c>
      <c r="E69" s="42">
        <v>115</v>
      </c>
      <c r="F69" s="42">
        <f>SUM(A$1-B69)</f>
        <v>41</v>
      </c>
      <c r="G69" s="35" t="s">
        <v>64</v>
      </c>
      <c r="H69" s="35" t="s">
        <v>65</v>
      </c>
      <c r="I69" s="35" t="s">
        <v>67</v>
      </c>
      <c r="J69" s="35" t="s">
        <v>20</v>
      </c>
      <c r="K69" s="35" t="s">
        <v>41</v>
      </c>
      <c r="L69" s="35" t="s">
        <v>37</v>
      </c>
      <c r="M69" s="35" t="s">
        <v>43</v>
      </c>
      <c r="N69" s="34" t="s">
        <v>35</v>
      </c>
    </row>
    <row r="70" spans="1:14" s="35" customFormat="1" thickBot="1" x14ac:dyDescent="0.25">
      <c r="A70" s="41">
        <v>42160.609224537038</v>
      </c>
      <c r="B70" s="41">
        <v>42160</v>
      </c>
      <c r="C70" s="42">
        <v>9</v>
      </c>
      <c r="D70" s="42">
        <v>12</v>
      </c>
      <c r="E70" s="42">
        <v>116</v>
      </c>
      <c r="F70" s="42">
        <f>SUM(A$1-B70)</f>
        <v>41</v>
      </c>
      <c r="G70" s="35" t="s">
        <v>68</v>
      </c>
      <c r="H70" s="35" t="s">
        <v>69</v>
      </c>
      <c r="I70" s="35" t="s">
        <v>67</v>
      </c>
      <c r="J70" s="35" t="s">
        <v>20</v>
      </c>
      <c r="K70" s="35" t="s">
        <v>41</v>
      </c>
      <c r="L70" s="35" t="s">
        <v>37</v>
      </c>
      <c r="M70" s="35" t="s">
        <v>43</v>
      </c>
      <c r="N70" s="59" t="s">
        <v>35</v>
      </c>
    </row>
    <row r="71" spans="1:14" s="35" customFormat="1" thickBot="1" x14ac:dyDescent="0.25">
      <c r="A71" s="41">
        <v>42160.613865740743</v>
      </c>
      <c r="B71" s="41">
        <v>42160</v>
      </c>
      <c r="C71" s="42">
        <v>9</v>
      </c>
      <c r="D71" s="42">
        <v>12</v>
      </c>
      <c r="E71" s="42">
        <v>119</v>
      </c>
      <c r="F71" s="42">
        <f>SUM(A$1-B71)</f>
        <v>41</v>
      </c>
      <c r="G71" s="35" t="s">
        <v>70</v>
      </c>
      <c r="H71" s="35" t="s">
        <v>71</v>
      </c>
      <c r="I71" s="35" t="s">
        <v>67</v>
      </c>
      <c r="J71" s="35" t="s">
        <v>20</v>
      </c>
      <c r="K71" s="35" t="s">
        <v>41</v>
      </c>
      <c r="L71" s="35" t="s">
        <v>37</v>
      </c>
      <c r="M71" s="35" t="s">
        <v>43</v>
      </c>
      <c r="N71" s="59" t="s">
        <v>35</v>
      </c>
    </row>
    <row r="72" spans="1:14" s="35" customFormat="1" thickBot="1" x14ac:dyDescent="0.25">
      <c r="A72" s="41">
        <v>42192.473437499997</v>
      </c>
      <c r="B72" s="41">
        <v>42192</v>
      </c>
      <c r="C72" s="42">
        <v>9</v>
      </c>
      <c r="D72" s="42">
        <v>36</v>
      </c>
      <c r="E72" s="42">
        <v>1039</v>
      </c>
      <c r="F72" s="42">
        <f>SUM(A$1-B72)</f>
        <v>9</v>
      </c>
      <c r="G72" s="35" t="s">
        <v>154</v>
      </c>
      <c r="H72" s="35" t="s">
        <v>155</v>
      </c>
      <c r="I72" s="35" t="s">
        <v>156</v>
      </c>
      <c r="J72" s="35" t="s">
        <v>20</v>
      </c>
      <c r="K72" s="35" t="s">
        <v>41</v>
      </c>
      <c r="L72" s="35" t="s">
        <v>37</v>
      </c>
      <c r="M72" s="35" t="s">
        <v>43</v>
      </c>
      <c r="N72" s="59" t="s">
        <v>35</v>
      </c>
    </row>
    <row r="73" spans="1:14" s="35" customFormat="1" thickBot="1" x14ac:dyDescent="0.25">
      <c r="A73" s="41">
        <v>42192.469259259262</v>
      </c>
      <c r="B73" s="41">
        <v>42192</v>
      </c>
      <c r="C73" s="42">
        <v>9</v>
      </c>
      <c r="D73" s="42">
        <v>49</v>
      </c>
      <c r="E73" s="42">
        <v>704</v>
      </c>
      <c r="F73" s="42">
        <f>SUM(A$1-B73)</f>
        <v>9</v>
      </c>
      <c r="G73" s="35" t="s">
        <v>147</v>
      </c>
      <c r="H73" s="35" t="s">
        <v>148</v>
      </c>
      <c r="I73" s="35" t="s">
        <v>75</v>
      </c>
      <c r="J73" s="35" t="s">
        <v>20</v>
      </c>
      <c r="K73" s="35" t="s">
        <v>41</v>
      </c>
      <c r="L73" s="35" t="s">
        <v>37</v>
      </c>
      <c r="M73" s="35" t="s">
        <v>43</v>
      </c>
      <c r="N73" s="59" t="s">
        <v>35</v>
      </c>
    </row>
    <row r="74" spans="1:14" s="35" customFormat="1" thickBot="1" x14ac:dyDescent="0.25">
      <c r="A74" s="41">
        <v>42166.647557870368</v>
      </c>
      <c r="B74" s="41">
        <v>42166</v>
      </c>
      <c r="C74" s="42">
        <v>9</v>
      </c>
      <c r="D74" s="42">
        <v>49</v>
      </c>
      <c r="E74" s="42">
        <v>704</v>
      </c>
      <c r="F74" s="42">
        <f>SUM(A$1-B74)</f>
        <v>35</v>
      </c>
      <c r="G74" s="35" t="s">
        <v>80</v>
      </c>
      <c r="H74" s="35" t="s">
        <v>81</v>
      </c>
      <c r="I74" s="35" t="s">
        <v>75</v>
      </c>
      <c r="J74" s="35" t="s">
        <v>20</v>
      </c>
      <c r="K74" s="35" t="s">
        <v>82</v>
      </c>
      <c r="L74" s="35" t="s">
        <v>37</v>
      </c>
      <c r="M74" s="35" t="s">
        <v>43</v>
      </c>
      <c r="N74" s="34" t="s">
        <v>35</v>
      </c>
    </row>
    <row r="75" spans="1:14" s="35" customFormat="1" thickBot="1" x14ac:dyDescent="0.25">
      <c r="A75" s="41">
        <v>42200.70516203704</v>
      </c>
      <c r="B75" s="41">
        <v>42200</v>
      </c>
      <c r="C75" s="42">
        <v>9</v>
      </c>
      <c r="D75" s="42">
        <v>334</v>
      </c>
      <c r="E75" s="42">
        <v>3040</v>
      </c>
      <c r="F75" s="42">
        <f>SUM(A$1-B75)</f>
        <v>1</v>
      </c>
      <c r="G75" s="35" t="s">
        <v>224</v>
      </c>
      <c r="H75" s="35" t="s">
        <v>225</v>
      </c>
      <c r="I75" s="35" t="s">
        <v>226</v>
      </c>
      <c r="J75" s="35" t="s">
        <v>20</v>
      </c>
      <c r="K75" s="65" t="s">
        <v>39</v>
      </c>
      <c r="L75" s="35" t="s">
        <v>37</v>
      </c>
      <c r="M75" s="35" t="s">
        <v>43</v>
      </c>
      <c r="N75" s="59"/>
    </row>
    <row r="76" spans="1:14" s="35" customFormat="1" thickBot="1" x14ac:dyDescent="0.25">
      <c r="A76" s="29"/>
      <c r="B76" s="29"/>
      <c r="C76" s="29"/>
      <c r="D76" s="29"/>
      <c r="E76" s="29"/>
      <c r="F76" s="29"/>
      <c r="G76" s="29"/>
      <c r="N76" s="34"/>
    </row>
    <row r="77" spans="1:14" s="35" customFormat="1" thickBot="1" x14ac:dyDescent="0.25"/>
    <row r="78" spans="1:14" s="35" customFormat="1" thickBot="1" x14ac:dyDescent="0.25">
      <c r="A78" s="70"/>
      <c r="B78" s="70"/>
      <c r="C78" s="71"/>
      <c r="D78" s="71"/>
      <c r="E78" s="71"/>
      <c r="F78" s="71"/>
      <c r="G78" s="72"/>
      <c r="H78" s="72"/>
      <c r="I78" s="72"/>
      <c r="J78" s="73"/>
      <c r="K78" s="72"/>
      <c r="L78" s="72"/>
      <c r="M78" s="72"/>
    </row>
    <row r="79" spans="1:14" s="35" customFormat="1" thickBot="1" x14ac:dyDescent="0.25">
      <c r="A79" s="70"/>
      <c r="B79" s="70"/>
      <c r="C79" s="71"/>
      <c r="D79" s="71"/>
      <c r="E79" s="71"/>
      <c r="F79" s="71"/>
      <c r="G79" s="72"/>
      <c r="H79" s="72"/>
      <c r="I79" s="72"/>
      <c r="J79" s="73"/>
      <c r="K79" s="72"/>
      <c r="L79" s="72"/>
      <c r="M79" s="72"/>
    </row>
    <row r="80" spans="1:14" s="35" customFormat="1" thickBot="1" x14ac:dyDescent="0.25">
      <c r="A80" s="70"/>
      <c r="B80" s="70"/>
      <c r="C80" s="71"/>
      <c r="D80" s="71"/>
      <c r="E80" s="71"/>
      <c r="F80" s="71"/>
      <c r="G80" s="72"/>
      <c r="H80" s="72"/>
      <c r="I80" s="72"/>
      <c r="J80" s="73"/>
      <c r="K80" s="72"/>
      <c r="L80" s="72"/>
      <c r="M80" s="72"/>
    </row>
    <row r="81" spans="1:23" s="35" customFormat="1" thickBot="1" x14ac:dyDescent="0.25">
      <c r="A81" s="70"/>
      <c r="B81" s="70"/>
      <c r="C81" s="71"/>
      <c r="D81" s="71"/>
      <c r="E81" s="71"/>
      <c r="F81" s="71"/>
      <c r="G81" s="72"/>
      <c r="H81" s="72"/>
      <c r="I81" s="72"/>
      <c r="J81" s="73"/>
      <c r="K81" s="72"/>
      <c r="L81" s="72"/>
      <c r="M81" s="72"/>
    </row>
    <row r="82" spans="1:23" s="35" customFormat="1" thickBot="1" x14ac:dyDescent="0.25">
      <c r="A82" s="70"/>
      <c r="B82" s="70"/>
      <c r="C82" s="71"/>
      <c r="D82" s="71"/>
      <c r="E82" s="71"/>
      <c r="F82" s="71"/>
      <c r="G82" s="72"/>
      <c r="H82" s="72"/>
      <c r="I82" s="72"/>
      <c r="J82" s="73"/>
      <c r="K82" s="72"/>
      <c r="L82" s="72"/>
      <c r="M82" s="72"/>
    </row>
    <row r="83" spans="1:23" s="35" customFormat="1" thickBot="1" x14ac:dyDescent="0.25">
      <c r="A83" s="70"/>
      <c r="B83" s="70"/>
      <c r="C83" s="71"/>
      <c r="D83" s="71"/>
      <c r="E83" s="71"/>
      <c r="F83" s="71"/>
      <c r="G83" s="72"/>
      <c r="H83" s="72"/>
      <c r="I83" s="72"/>
      <c r="J83" s="73"/>
      <c r="K83" s="74"/>
      <c r="L83" s="72"/>
      <c r="M83" s="72"/>
    </row>
    <row r="84" spans="1:23" s="35" customFormat="1" thickBot="1" x14ac:dyDescent="0.25">
      <c r="A84" s="70"/>
      <c r="B84" s="70"/>
      <c r="C84" s="71"/>
      <c r="D84" s="71"/>
      <c r="E84" s="71"/>
      <c r="F84" s="71"/>
      <c r="G84" s="72"/>
      <c r="H84" s="72"/>
      <c r="I84" s="72"/>
      <c r="J84" s="73"/>
      <c r="K84" s="74"/>
      <c r="L84" s="72"/>
      <c r="M84" s="72"/>
    </row>
    <row r="85" spans="1:23" s="35" customFormat="1" thickBot="1" x14ac:dyDescent="0.25">
      <c r="A85" s="66"/>
      <c r="B85" s="66"/>
      <c r="C85" s="45"/>
      <c r="D85" s="45"/>
      <c r="E85" s="45"/>
      <c r="F85" s="45"/>
      <c r="G85" s="46"/>
      <c r="H85" s="46"/>
      <c r="I85" s="45"/>
      <c r="J85" s="46"/>
      <c r="K85" s="46"/>
      <c r="L85" s="46"/>
      <c r="M85" s="46"/>
    </row>
    <row r="86" spans="1:23" s="35" customFormat="1" thickBot="1" x14ac:dyDescent="0.25">
      <c r="A86" s="62"/>
      <c r="B86" s="62"/>
      <c r="C86" s="45"/>
      <c r="D86" s="68"/>
      <c r="E86" s="68"/>
      <c r="F86" s="37"/>
      <c r="G86" s="69"/>
      <c r="H86" s="69"/>
      <c r="I86" s="45"/>
      <c r="J86" s="46"/>
      <c r="K86" s="48"/>
      <c r="L86" s="46"/>
      <c r="M86" s="46"/>
    </row>
    <row r="87" spans="1:23" s="35" customFormat="1" thickBot="1" x14ac:dyDescent="0.25">
      <c r="A87" s="61"/>
      <c r="B87" s="61"/>
      <c r="C87" s="42"/>
      <c r="D87" s="42"/>
      <c r="E87" s="42"/>
      <c r="F87" s="42"/>
      <c r="I87" s="42"/>
      <c r="K87" s="47"/>
    </row>
    <row r="88" spans="1:23" s="35" customFormat="1" thickBot="1" x14ac:dyDescent="0.25">
      <c r="A88" s="41"/>
      <c r="B88" s="41"/>
      <c r="C88" s="42"/>
      <c r="D88" s="42"/>
      <c r="E88" s="42"/>
      <c r="F88" s="42"/>
      <c r="I88" s="42"/>
      <c r="K88" s="47"/>
    </row>
    <row r="89" spans="1:23" s="35" customFormat="1" thickBot="1" x14ac:dyDescent="0.25">
      <c r="A89" s="41"/>
      <c r="B89" s="41"/>
      <c r="C89" s="42"/>
      <c r="D89" s="42"/>
      <c r="E89" s="42"/>
      <c r="F89" s="42"/>
      <c r="I89" s="42"/>
      <c r="K89" s="47"/>
    </row>
    <row r="90" spans="1:23" s="35" customFormat="1" thickBot="1" x14ac:dyDescent="0.25">
      <c r="A90" s="41"/>
      <c r="B90" s="41"/>
      <c r="C90" s="42"/>
      <c r="D90" s="42"/>
      <c r="E90" s="42"/>
      <c r="F90" s="42"/>
      <c r="I90" s="42"/>
      <c r="K90" s="47"/>
    </row>
    <row r="91" spans="1:23" s="35" customFormat="1" thickBot="1" x14ac:dyDescent="0.25">
      <c r="A91" s="41"/>
      <c r="B91" s="41"/>
      <c r="C91" s="42"/>
      <c r="D91" s="42"/>
      <c r="E91" s="42"/>
      <c r="F91" s="42"/>
      <c r="I91" s="42"/>
      <c r="K91" s="47"/>
    </row>
    <row r="92" spans="1:23" s="35" customFormat="1" thickBot="1" x14ac:dyDescent="0.25">
      <c r="A92" s="41"/>
      <c r="B92" s="41"/>
      <c r="C92" s="42"/>
      <c r="D92" s="42"/>
      <c r="E92" s="42"/>
      <c r="F92" s="42"/>
      <c r="I92" s="42"/>
      <c r="K92" s="47"/>
      <c r="N92" s="72"/>
      <c r="P92" s="27"/>
    </row>
    <row r="93" spans="1:23" s="35" customFormat="1" thickBot="1" x14ac:dyDescent="0.25">
      <c r="A93" s="41"/>
      <c r="B93" s="41"/>
      <c r="C93" s="42"/>
      <c r="D93" s="42"/>
      <c r="E93" s="42"/>
      <c r="F93" s="42"/>
      <c r="I93" s="42"/>
      <c r="K93" s="47"/>
      <c r="N93" s="72"/>
      <c r="P93" s="29"/>
      <c r="Q93" s="28"/>
      <c r="R93" s="28"/>
      <c r="S93" s="28"/>
      <c r="T93" s="28"/>
      <c r="U93" s="28"/>
      <c r="V93" s="28"/>
      <c r="W93" s="28"/>
    </row>
    <row r="94" spans="1:23" s="35" customFormat="1" thickBot="1" x14ac:dyDescent="0.25">
      <c r="A94" s="41"/>
      <c r="B94" s="41"/>
      <c r="C94" s="42"/>
      <c r="D94" s="42"/>
      <c r="E94" s="42"/>
      <c r="F94" s="42"/>
      <c r="I94" s="42"/>
      <c r="K94" s="47"/>
      <c r="N94" s="72"/>
      <c r="P94" s="47"/>
      <c r="Q94" s="29"/>
      <c r="R94" s="29"/>
      <c r="S94" s="29"/>
      <c r="T94" s="29"/>
      <c r="U94" s="29"/>
      <c r="V94" s="29"/>
      <c r="W94" s="29"/>
    </row>
    <row r="95" spans="1:23" s="35" customFormat="1" thickBot="1" x14ac:dyDescent="0.25">
      <c r="A95" s="41"/>
      <c r="B95" s="41"/>
      <c r="C95" s="42"/>
      <c r="D95" s="42"/>
      <c r="E95" s="42"/>
      <c r="F95" s="42"/>
      <c r="I95" s="42"/>
      <c r="K95" s="47"/>
      <c r="N95" s="72"/>
      <c r="P95" s="29"/>
      <c r="Q95" s="29"/>
      <c r="R95" s="29"/>
      <c r="S95" s="29"/>
      <c r="T95" s="29"/>
      <c r="U95" s="29"/>
      <c r="V95" s="29"/>
      <c r="W95" s="29"/>
    </row>
    <row r="96" spans="1:23" s="35" customFormat="1" thickBot="1" x14ac:dyDescent="0.25">
      <c r="A96" s="44"/>
      <c r="B96" s="41"/>
      <c r="C96" s="42"/>
      <c r="D96" s="42"/>
      <c r="E96" s="42"/>
      <c r="F96" s="42"/>
      <c r="I96" s="42"/>
      <c r="K96" s="47"/>
      <c r="N96" s="72"/>
      <c r="P96" s="27"/>
      <c r="Q96" s="27"/>
      <c r="R96" s="27"/>
      <c r="S96" s="27"/>
      <c r="T96" s="27"/>
      <c r="U96" s="27"/>
      <c r="V96" s="27"/>
      <c r="W96" s="27"/>
    </row>
    <row r="97" spans="1:23" s="35" customFormat="1" thickBot="1" x14ac:dyDescent="0.25">
      <c r="A97" s="41"/>
      <c r="B97" s="41"/>
      <c r="C97" s="42"/>
      <c r="D97" s="42"/>
      <c r="E97" s="42"/>
      <c r="F97" s="42"/>
      <c r="I97" s="42"/>
      <c r="K97" s="47"/>
      <c r="N97" s="72"/>
    </row>
    <row r="98" spans="1:23" s="35" customFormat="1" thickBot="1" x14ac:dyDescent="0.25">
      <c r="A98" s="41"/>
      <c r="B98" s="41"/>
      <c r="C98" s="42"/>
      <c r="D98" s="42"/>
      <c r="E98" s="42"/>
      <c r="F98" s="42"/>
      <c r="I98" s="42"/>
      <c r="K98" s="47"/>
      <c r="N98" s="72"/>
      <c r="P98" s="27"/>
      <c r="Q98" s="29"/>
      <c r="R98" s="29"/>
      <c r="S98" s="29"/>
      <c r="T98" s="29"/>
      <c r="U98" s="29"/>
      <c r="V98" s="29"/>
      <c r="W98" s="29"/>
    </row>
    <row r="99" spans="1:23" s="35" customFormat="1" thickBot="1" x14ac:dyDescent="0.25">
      <c r="A99" s="41"/>
      <c r="B99" s="41"/>
      <c r="C99" s="42"/>
      <c r="D99" s="42"/>
      <c r="E99" s="42"/>
      <c r="F99" s="42"/>
      <c r="I99" s="42"/>
      <c r="K99" s="47"/>
      <c r="N99"/>
      <c r="O99" s="67"/>
      <c r="P99" s="27"/>
      <c r="Q99" s="29"/>
      <c r="R99" s="29"/>
      <c r="S99" s="29"/>
      <c r="T99" s="29"/>
      <c r="U99" s="29"/>
      <c r="V99" s="29"/>
      <c r="W99" s="29"/>
    </row>
    <row r="100" spans="1:23" s="35" customFormat="1" thickBot="1" x14ac:dyDescent="0.25">
      <c r="A100" s="41"/>
      <c r="B100" s="41"/>
      <c r="C100" s="42"/>
      <c r="D100" s="42"/>
      <c r="E100" s="42"/>
      <c r="F100" s="42"/>
      <c r="I100" s="42"/>
      <c r="K100" s="47"/>
      <c r="N100"/>
      <c r="O100" s="27"/>
    </row>
    <row r="101" spans="1:23" s="35" customFormat="1" thickBot="1" x14ac:dyDescent="0.25">
      <c r="A101" s="41"/>
      <c r="B101" s="41"/>
      <c r="C101" s="42"/>
      <c r="D101" s="42"/>
      <c r="E101" s="42"/>
      <c r="F101" s="42"/>
      <c r="I101" s="42"/>
      <c r="K101" s="47"/>
      <c r="N101"/>
      <c r="O101" s="47"/>
    </row>
    <row r="102" spans="1:23" s="35" customFormat="1" thickBot="1" x14ac:dyDescent="0.25">
      <c r="A102" s="41"/>
      <c r="B102" s="41"/>
      <c r="C102" s="42"/>
      <c r="D102" s="42"/>
      <c r="E102" s="42"/>
      <c r="F102" s="42"/>
      <c r="I102" s="42"/>
      <c r="K102" s="47"/>
      <c r="N102"/>
      <c r="O102" s="47"/>
    </row>
    <row r="103" spans="1:23" s="35" customFormat="1" thickBot="1" x14ac:dyDescent="0.25">
      <c r="A103" s="41"/>
      <c r="B103" s="41"/>
      <c r="C103" s="42"/>
      <c r="D103" s="42"/>
      <c r="E103" s="42"/>
      <c r="F103" s="42"/>
      <c r="I103" s="42"/>
      <c r="K103" s="47"/>
      <c r="N103"/>
      <c r="O103" s="27"/>
      <c r="P103" s="29"/>
    </row>
    <row r="104" spans="1:23" s="35" customFormat="1" thickBot="1" x14ac:dyDescent="0.25">
      <c r="A104" s="41"/>
      <c r="B104" s="41"/>
      <c r="C104" s="42"/>
      <c r="D104" s="42"/>
      <c r="E104" s="42"/>
      <c r="F104" s="42"/>
      <c r="I104" s="42"/>
      <c r="K104" s="47"/>
      <c r="N104"/>
      <c r="O104" s="27"/>
      <c r="Q104" s="27"/>
      <c r="R104" s="27"/>
      <c r="S104" s="27"/>
      <c r="T104" s="27"/>
      <c r="U104" s="27"/>
      <c r="V104" s="27"/>
      <c r="W104" s="27"/>
    </row>
    <row r="105" spans="1:23" s="35" customFormat="1" thickBot="1" x14ac:dyDescent="0.25">
      <c r="A105" s="41"/>
      <c r="B105" s="41"/>
      <c r="C105" s="42"/>
      <c r="D105" s="42"/>
      <c r="E105" s="42"/>
      <c r="F105" s="42"/>
      <c r="I105" s="42"/>
      <c r="K105" s="47"/>
      <c r="N105"/>
      <c r="O105" s="27"/>
      <c r="Q105" s="29"/>
      <c r="R105" s="29"/>
      <c r="S105" s="29"/>
      <c r="T105" s="29"/>
      <c r="U105" s="29"/>
      <c r="V105" s="29"/>
      <c r="W105" s="29"/>
    </row>
    <row r="106" spans="1:23" s="35" customFormat="1" thickBot="1" x14ac:dyDescent="0.25">
      <c r="A106" s="41"/>
      <c r="B106" s="41"/>
      <c r="C106" s="42"/>
      <c r="D106" s="42"/>
      <c r="E106" s="42"/>
      <c r="F106" s="42"/>
      <c r="I106" s="42"/>
      <c r="K106" s="47"/>
      <c r="N106"/>
      <c r="O106" s="47"/>
      <c r="P106" s="27"/>
    </row>
    <row r="107" spans="1:23" s="35" customFormat="1" thickBot="1" x14ac:dyDescent="0.25">
      <c r="A107" s="41"/>
      <c r="B107" s="41"/>
      <c r="C107" s="42"/>
      <c r="D107" s="42"/>
      <c r="E107" s="42"/>
      <c r="F107" s="42"/>
      <c r="I107" s="42"/>
      <c r="K107" s="47"/>
      <c r="N107"/>
      <c r="O107" s="27"/>
      <c r="Q107" s="27"/>
      <c r="R107" s="27"/>
      <c r="S107" s="27"/>
      <c r="T107" s="27"/>
      <c r="U107" s="27"/>
      <c r="V107" s="27"/>
      <c r="W107" s="27"/>
    </row>
    <row r="108" spans="1:23" s="35" customFormat="1" thickBot="1" x14ac:dyDescent="0.25">
      <c r="A108" s="41"/>
      <c r="B108" s="41"/>
      <c r="C108" s="42"/>
      <c r="D108" s="42"/>
      <c r="E108" s="42"/>
      <c r="F108" s="42"/>
      <c r="I108" s="42"/>
      <c r="K108" s="47"/>
      <c r="N108"/>
      <c r="O108" s="27"/>
      <c r="P108" s="29"/>
      <c r="Q108" s="28"/>
      <c r="R108" s="28"/>
      <c r="S108" s="28"/>
      <c r="T108" s="28"/>
      <c r="U108" s="28"/>
      <c r="V108" s="28"/>
      <c r="W108" s="28"/>
    </row>
    <row r="109" spans="1:23" s="35" customFormat="1" thickBot="1" x14ac:dyDescent="0.25">
      <c r="A109" s="41"/>
      <c r="B109" s="41"/>
      <c r="C109" s="42"/>
      <c r="D109" s="42"/>
      <c r="E109" s="42"/>
      <c r="F109" s="42"/>
      <c r="I109" s="42"/>
      <c r="K109" s="47"/>
      <c r="N109"/>
      <c r="O109" s="47"/>
      <c r="P109" s="29"/>
      <c r="Q109" s="27"/>
      <c r="R109" s="27"/>
      <c r="S109" s="27"/>
      <c r="T109" s="27"/>
      <c r="U109" s="27"/>
      <c r="V109" s="27"/>
      <c r="W109" s="27"/>
    </row>
    <row r="110" spans="1:23" s="35" customFormat="1" thickBot="1" x14ac:dyDescent="0.25">
      <c r="A110" s="41"/>
      <c r="B110" s="41"/>
      <c r="C110" s="42"/>
      <c r="D110" s="42"/>
      <c r="E110" s="42"/>
      <c r="F110" s="42"/>
      <c r="I110" s="42"/>
      <c r="K110" s="47"/>
      <c r="N110"/>
      <c r="O110" s="47"/>
      <c r="P110" s="29"/>
      <c r="Q110" s="29"/>
      <c r="R110" s="29"/>
      <c r="S110" s="29"/>
      <c r="T110" s="29"/>
      <c r="U110" s="29"/>
      <c r="V110" s="29"/>
      <c r="W110" s="29"/>
    </row>
    <row r="111" spans="1:23" s="35" customFormat="1" thickBot="1" x14ac:dyDescent="0.25">
      <c r="A111" s="41"/>
      <c r="B111" s="41"/>
      <c r="C111" s="42"/>
      <c r="D111" s="42"/>
      <c r="E111" s="42"/>
      <c r="F111" s="42"/>
      <c r="I111" s="42"/>
      <c r="K111" s="47"/>
      <c r="N111"/>
      <c r="O111" s="47"/>
      <c r="P111" s="29"/>
    </row>
    <row r="112" spans="1:23" s="35" customFormat="1" thickBot="1" x14ac:dyDescent="0.25">
      <c r="A112" s="41"/>
      <c r="B112" s="41"/>
      <c r="C112" s="42"/>
      <c r="D112" s="42"/>
      <c r="E112" s="42"/>
      <c r="F112" s="42"/>
      <c r="I112" s="42"/>
      <c r="K112" s="47"/>
      <c r="N112"/>
      <c r="O112" s="27"/>
      <c r="P112" s="29"/>
    </row>
    <row r="113" spans="1:25" s="34" customFormat="1" thickBot="1" x14ac:dyDescent="0.25">
      <c r="A113" s="41"/>
      <c r="B113" s="41"/>
      <c r="C113" s="42"/>
      <c r="D113" s="42"/>
      <c r="E113" s="42"/>
      <c r="F113" s="42"/>
      <c r="G113" s="35"/>
      <c r="H113" s="35"/>
      <c r="I113" s="42"/>
      <c r="J113" s="35"/>
      <c r="K113" s="47"/>
      <c r="L113" s="35"/>
      <c r="M113" s="35"/>
      <c r="N113"/>
      <c r="O113" s="47"/>
      <c r="P113" s="27"/>
      <c r="Q113" s="35"/>
      <c r="R113" s="35"/>
      <c r="S113" s="35"/>
      <c r="T113" s="35"/>
      <c r="U113" s="35"/>
      <c r="V113" s="35"/>
      <c r="W113" s="35"/>
      <c r="X113" s="35"/>
      <c r="Y113" s="35"/>
    </row>
    <row r="114" spans="1:25" s="34" customFormat="1" thickBot="1" x14ac:dyDescent="0.25">
      <c r="A114" s="41"/>
      <c r="B114" s="41"/>
      <c r="C114" s="42"/>
      <c r="D114" s="42"/>
      <c r="E114" s="42"/>
      <c r="F114" s="42"/>
      <c r="G114" s="35"/>
      <c r="H114" s="35"/>
      <c r="I114" s="42"/>
      <c r="J114" s="35"/>
      <c r="K114" s="47"/>
      <c r="L114" s="35"/>
      <c r="M114" s="35"/>
      <c r="N114"/>
      <c r="O114" s="27"/>
      <c r="P114" s="29"/>
      <c r="Q114" s="29"/>
      <c r="R114" s="29"/>
      <c r="S114" s="29"/>
      <c r="T114" s="29"/>
      <c r="U114" s="29"/>
      <c r="V114" s="29"/>
      <c r="W114" s="29"/>
      <c r="X114" s="35"/>
      <c r="Y114" s="35"/>
    </row>
    <row r="115" spans="1:25" s="34" customFormat="1" thickBot="1" x14ac:dyDescent="0.25">
      <c r="A115" s="41"/>
      <c r="B115" s="41"/>
      <c r="C115" s="42"/>
      <c r="D115" s="42"/>
      <c r="E115" s="42"/>
      <c r="F115" s="42"/>
      <c r="G115" s="35"/>
      <c r="H115" s="35"/>
      <c r="I115" s="42"/>
      <c r="J115" s="35"/>
      <c r="K115" s="47"/>
      <c r="L115" s="35"/>
      <c r="M115" s="35"/>
      <c r="N115"/>
      <c r="O115" s="27"/>
      <c r="P115" s="29"/>
      <c r="Q115" s="29"/>
      <c r="R115" s="29"/>
      <c r="S115" s="29"/>
      <c r="T115" s="29"/>
      <c r="U115" s="29"/>
      <c r="V115" s="29"/>
      <c r="W115" s="29"/>
      <c r="X115" s="35"/>
      <c r="Y115" s="35"/>
    </row>
    <row r="116" spans="1:25" s="34" customFormat="1" thickBot="1" x14ac:dyDescent="0.25">
      <c r="A116" s="41"/>
      <c r="B116" s="41"/>
      <c r="C116" s="42"/>
      <c r="D116" s="42"/>
      <c r="E116" s="42"/>
      <c r="F116" s="42"/>
      <c r="G116" s="35"/>
      <c r="H116" s="35"/>
      <c r="I116" s="42"/>
      <c r="J116" s="35"/>
      <c r="K116" s="47"/>
      <c r="L116" s="35"/>
      <c r="M116" s="35"/>
      <c r="N116"/>
      <c r="O116" s="27"/>
      <c r="P116" s="29"/>
      <c r="Q116" s="29"/>
      <c r="R116" s="29"/>
      <c r="S116" s="29"/>
      <c r="T116" s="29"/>
      <c r="U116" s="29"/>
      <c r="V116" s="29"/>
      <c r="W116" s="29"/>
      <c r="X116" s="35"/>
      <c r="Y116" s="35"/>
    </row>
    <row r="117" spans="1:25" s="34" customFormat="1" thickBot="1" x14ac:dyDescent="0.25">
      <c r="A117" s="41"/>
      <c r="B117" s="41"/>
      <c r="C117" s="42"/>
      <c r="D117" s="42"/>
      <c r="E117" s="42"/>
      <c r="F117" s="42"/>
      <c r="G117" s="35"/>
      <c r="H117" s="35"/>
      <c r="I117" s="42"/>
      <c r="J117" s="35"/>
      <c r="K117" s="47"/>
      <c r="L117" s="35"/>
      <c r="M117" s="35"/>
      <c r="N117"/>
      <c r="O117" s="27"/>
      <c r="P117" s="29"/>
      <c r="Q117" s="35"/>
      <c r="R117" s="35"/>
      <c r="S117" s="35"/>
      <c r="T117" s="35"/>
      <c r="U117" s="35"/>
      <c r="V117" s="35"/>
      <c r="W117" s="35"/>
      <c r="X117" s="35"/>
      <c r="Y117" s="35"/>
    </row>
    <row r="118" spans="1:25" s="34" customFormat="1" thickBot="1" x14ac:dyDescent="0.25">
      <c r="A118" s="41"/>
      <c r="B118" s="41"/>
      <c r="C118" s="42"/>
      <c r="D118" s="42"/>
      <c r="E118" s="42"/>
      <c r="F118" s="42"/>
      <c r="G118" s="35"/>
      <c r="H118" s="35"/>
      <c r="I118" s="42"/>
      <c r="J118" s="35"/>
      <c r="K118" s="47"/>
      <c r="L118" s="35"/>
      <c r="M118" s="35"/>
      <c r="N118"/>
      <c r="O118" s="27"/>
      <c r="P118" s="29"/>
      <c r="Q118" s="29"/>
      <c r="R118" s="29"/>
      <c r="S118" s="29"/>
      <c r="T118" s="29"/>
      <c r="U118" s="29"/>
      <c r="V118" s="29"/>
      <c r="W118" s="29"/>
      <c r="X118" s="35"/>
      <c r="Y118" s="35"/>
    </row>
    <row r="119" spans="1:25" s="34" customFormat="1" thickBot="1" x14ac:dyDescent="0.25">
      <c r="A119" s="41"/>
      <c r="B119" s="41"/>
      <c r="C119" s="42"/>
      <c r="D119" s="42"/>
      <c r="E119" s="42"/>
      <c r="F119" s="42"/>
      <c r="G119" s="35"/>
      <c r="H119" s="35"/>
      <c r="I119" s="42"/>
      <c r="J119" s="35"/>
      <c r="K119" s="47"/>
      <c r="L119" s="35"/>
      <c r="M119" s="35"/>
      <c r="N119"/>
      <c r="O119" s="27"/>
      <c r="P119" s="28"/>
      <c r="Q119" s="35"/>
      <c r="R119" s="35"/>
      <c r="S119" s="35"/>
      <c r="T119" s="35"/>
      <c r="U119" s="35"/>
      <c r="V119" s="35"/>
      <c r="W119" s="35"/>
      <c r="X119" s="35"/>
      <c r="Y119" s="35"/>
    </row>
    <row r="120" spans="1:25" s="34" customFormat="1" thickBot="1" x14ac:dyDescent="0.25">
      <c r="A120" s="41"/>
      <c r="B120" s="41"/>
      <c r="C120" s="42"/>
      <c r="D120" s="42"/>
      <c r="E120" s="42"/>
      <c r="F120" s="42"/>
      <c r="G120" s="35"/>
      <c r="H120" s="35"/>
      <c r="I120" s="42"/>
      <c r="J120" s="35"/>
      <c r="K120" s="47"/>
      <c r="L120" s="35"/>
      <c r="M120" s="35"/>
      <c r="N120"/>
      <c r="O120" s="27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spans="1:25" s="34" customFormat="1" thickBot="1" x14ac:dyDescent="0.25">
      <c r="A121" s="41"/>
      <c r="B121" s="41"/>
      <c r="C121" s="42"/>
      <c r="D121" s="42"/>
      <c r="E121" s="42"/>
      <c r="F121" s="42"/>
      <c r="G121" s="35"/>
      <c r="H121" s="35"/>
      <c r="I121" s="42"/>
      <c r="J121" s="35"/>
      <c r="K121" s="47"/>
      <c r="L121" s="35"/>
      <c r="M121" s="35"/>
      <c r="N121"/>
      <c r="O121" s="47"/>
      <c r="P121" s="29"/>
      <c r="Q121" s="29"/>
      <c r="R121" s="29"/>
      <c r="S121" s="29"/>
      <c r="T121" s="29"/>
      <c r="U121" s="29"/>
      <c r="V121" s="29"/>
      <c r="W121" s="29"/>
      <c r="X121" s="35"/>
      <c r="Y121" s="35"/>
    </row>
    <row r="122" spans="1:25" s="34" customFormat="1" thickBot="1" x14ac:dyDescent="0.25">
      <c r="A122" s="41"/>
      <c r="B122" s="41"/>
      <c r="C122" s="42"/>
      <c r="D122" s="42"/>
      <c r="E122" s="42"/>
      <c r="F122" s="42"/>
      <c r="G122" s="35"/>
      <c r="H122" s="35"/>
      <c r="I122" s="42"/>
      <c r="J122" s="35"/>
      <c r="K122" s="47"/>
      <c r="L122" s="35"/>
      <c r="M122" s="35"/>
      <c r="N122"/>
      <c r="O122" s="27"/>
      <c r="P122" s="35"/>
      <c r="Q122" s="29"/>
      <c r="R122" s="29"/>
      <c r="S122" s="29"/>
      <c r="T122" s="29"/>
      <c r="U122" s="29"/>
      <c r="V122" s="29"/>
      <c r="W122" s="29"/>
      <c r="X122" s="35"/>
      <c r="Y122" s="35"/>
    </row>
    <row r="123" spans="1:25" s="34" customFormat="1" thickBot="1" x14ac:dyDescent="0.25">
      <c r="A123" s="41"/>
      <c r="B123" s="41"/>
      <c r="C123" s="42"/>
      <c r="D123" s="42"/>
      <c r="E123" s="42"/>
      <c r="F123" s="42"/>
      <c r="G123" s="35"/>
      <c r="H123" s="35"/>
      <c r="I123" s="42"/>
      <c r="J123" s="35"/>
      <c r="K123" s="47"/>
      <c r="L123" s="35"/>
      <c r="M123" s="35"/>
      <c r="N123"/>
      <c r="O123" s="27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spans="1:25" s="34" customFormat="1" thickBot="1" x14ac:dyDescent="0.25">
      <c r="A124" s="41"/>
      <c r="B124" s="41"/>
      <c r="C124" s="42"/>
      <c r="D124" s="42"/>
      <c r="E124" s="42"/>
      <c r="F124" s="42"/>
      <c r="G124" s="35"/>
      <c r="H124" s="35"/>
      <c r="I124" s="42"/>
      <c r="J124" s="35"/>
      <c r="K124" s="47"/>
      <c r="L124" s="35"/>
      <c r="M124" s="35"/>
      <c r="N124"/>
      <c r="O124" s="27"/>
      <c r="P124" s="27"/>
      <c r="Q124" s="35"/>
      <c r="R124" s="35"/>
      <c r="S124" s="35"/>
      <c r="T124" s="35"/>
      <c r="U124" s="35"/>
      <c r="V124" s="35"/>
      <c r="W124" s="35"/>
      <c r="X124" s="35"/>
      <c r="Y124" s="35"/>
    </row>
    <row r="125" spans="1:25" s="27" customFormat="1" thickBot="1" x14ac:dyDescent="0.25">
      <c r="A125" s="41"/>
      <c r="B125" s="41"/>
      <c r="C125" s="42"/>
      <c r="D125" s="42"/>
      <c r="E125" s="42"/>
      <c r="F125" s="42"/>
      <c r="G125" s="35"/>
      <c r="H125" s="35"/>
      <c r="I125" s="42"/>
      <c r="J125" s="35"/>
      <c r="K125" s="47"/>
      <c r="L125" s="35"/>
      <c r="M125" s="35"/>
      <c r="N125"/>
      <c r="O125" s="47"/>
      <c r="P125" s="35"/>
      <c r="Q125" s="29"/>
      <c r="R125" s="29"/>
      <c r="S125" s="29"/>
      <c r="T125" s="29"/>
      <c r="U125" s="29"/>
      <c r="V125" s="29"/>
      <c r="W125" s="29"/>
    </row>
    <row r="126" spans="1:25" s="27" customFormat="1" thickBot="1" x14ac:dyDescent="0.25">
      <c r="A126" s="41"/>
      <c r="B126" s="41"/>
      <c r="C126" s="42"/>
      <c r="D126" s="42"/>
      <c r="E126" s="42"/>
      <c r="F126" s="42"/>
      <c r="G126" s="35"/>
      <c r="H126" s="35"/>
      <c r="I126" s="42"/>
      <c r="J126" s="35"/>
      <c r="K126" s="47"/>
      <c r="L126" s="35"/>
      <c r="M126" s="35"/>
      <c r="N126"/>
      <c r="O126" s="47"/>
      <c r="P126" s="35"/>
      <c r="Q126" s="29"/>
      <c r="R126" s="29"/>
      <c r="S126" s="29"/>
      <c r="T126" s="29"/>
      <c r="U126" s="29"/>
      <c r="V126" s="29"/>
      <c r="W126" s="29"/>
    </row>
    <row r="127" spans="1:25" s="27" customFormat="1" thickBot="1" x14ac:dyDescent="0.25">
      <c r="A127" s="41"/>
      <c r="B127" s="41"/>
      <c r="C127" s="42"/>
      <c r="D127" s="42"/>
      <c r="E127" s="42"/>
      <c r="F127" s="42"/>
      <c r="G127" s="35"/>
      <c r="H127" s="35"/>
      <c r="I127" s="42"/>
      <c r="J127" s="35"/>
      <c r="K127" s="47"/>
      <c r="L127" s="35"/>
      <c r="M127" s="35"/>
      <c r="N127"/>
      <c r="P127" s="35"/>
      <c r="Q127" s="35"/>
      <c r="R127" s="35"/>
      <c r="S127" s="35"/>
      <c r="T127" s="35"/>
      <c r="U127" s="35"/>
      <c r="V127" s="35"/>
      <c r="W127" s="35"/>
    </row>
    <row r="128" spans="1:25" s="27" customFormat="1" thickBot="1" x14ac:dyDescent="0.25">
      <c r="A128" s="41"/>
      <c r="B128" s="41"/>
      <c r="C128" s="42"/>
      <c r="D128" s="42"/>
      <c r="E128" s="42"/>
      <c r="F128" s="42"/>
      <c r="G128" s="35"/>
      <c r="H128" s="35"/>
      <c r="I128" s="42"/>
      <c r="J128" s="35"/>
      <c r="K128" s="47"/>
      <c r="L128" s="35"/>
      <c r="M128" s="35"/>
      <c r="N128"/>
      <c r="P128" s="35"/>
    </row>
    <row r="129" spans="1:23" s="27" customFormat="1" thickBot="1" x14ac:dyDescent="0.25">
      <c r="A129" s="41"/>
      <c r="B129" s="41"/>
      <c r="C129" s="42"/>
      <c r="D129" s="42"/>
      <c r="E129" s="42"/>
      <c r="F129" s="42"/>
      <c r="G129" s="35"/>
      <c r="H129" s="35"/>
      <c r="I129" s="42"/>
      <c r="J129" s="35"/>
      <c r="K129" s="47"/>
      <c r="L129" s="35"/>
      <c r="M129" s="35"/>
      <c r="N129"/>
      <c r="P129" s="35"/>
      <c r="Q129" s="35"/>
      <c r="R129" s="35"/>
      <c r="S129" s="35"/>
      <c r="T129" s="35"/>
      <c r="U129" s="35"/>
      <c r="V129" s="35"/>
      <c r="W129" s="35"/>
    </row>
    <row r="130" spans="1:23" s="27" customFormat="1" thickBot="1" x14ac:dyDescent="0.25">
      <c r="A130" s="41"/>
      <c r="B130" s="41"/>
      <c r="C130" s="42"/>
      <c r="D130" s="42"/>
      <c r="E130" s="42"/>
      <c r="F130" s="42"/>
      <c r="G130" s="35"/>
      <c r="H130" s="35"/>
      <c r="I130" s="42"/>
      <c r="J130" s="35"/>
      <c r="K130" s="47"/>
      <c r="L130" s="35"/>
      <c r="M130" s="35"/>
      <c r="N130"/>
      <c r="P130" s="29"/>
      <c r="Q130" s="29"/>
      <c r="R130" s="29"/>
      <c r="S130" s="29"/>
      <c r="T130" s="29"/>
      <c r="U130" s="29"/>
      <c r="V130" s="29"/>
      <c r="W130" s="29"/>
    </row>
    <row r="131" spans="1:23" s="27" customFormat="1" thickBot="1" x14ac:dyDescent="0.25">
      <c r="A131" s="41"/>
      <c r="B131" s="41"/>
      <c r="C131" s="42"/>
      <c r="D131" s="42"/>
      <c r="E131" s="42"/>
      <c r="F131" s="42"/>
      <c r="G131" s="35"/>
      <c r="H131" s="35"/>
      <c r="I131" s="42"/>
      <c r="J131" s="35"/>
      <c r="K131" s="47"/>
      <c r="L131" s="35"/>
      <c r="M131" s="35"/>
      <c r="N131"/>
      <c r="P131" s="29"/>
    </row>
    <row r="132" spans="1:23" s="27" customFormat="1" thickBot="1" x14ac:dyDescent="0.25">
      <c r="A132" s="41"/>
      <c r="B132" s="41"/>
      <c r="C132" s="42"/>
      <c r="D132" s="42"/>
      <c r="E132" s="42"/>
      <c r="F132" s="42"/>
      <c r="G132" s="35"/>
      <c r="H132" s="35"/>
      <c r="I132" s="42"/>
      <c r="J132" s="35"/>
      <c r="K132" s="47"/>
      <c r="L132" s="35"/>
      <c r="M132" s="35"/>
      <c r="N132"/>
      <c r="O132" s="47"/>
      <c r="P132" s="29"/>
      <c r="Q132" s="28"/>
      <c r="R132" s="28"/>
      <c r="S132" s="28"/>
      <c r="T132" s="28"/>
      <c r="U132" s="28"/>
      <c r="V132" s="28"/>
      <c r="W132" s="28"/>
    </row>
    <row r="133" spans="1:23" s="27" customFormat="1" thickBot="1" x14ac:dyDescent="0.25">
      <c r="A133" s="41"/>
      <c r="B133" s="41"/>
      <c r="C133" s="42"/>
      <c r="D133" s="42"/>
      <c r="E133" s="42"/>
      <c r="F133" s="42"/>
      <c r="G133" s="35"/>
      <c r="H133" s="35"/>
      <c r="I133" s="42"/>
      <c r="J133" s="35"/>
      <c r="K133" s="47"/>
      <c r="L133" s="35"/>
      <c r="M133" s="35"/>
      <c r="N133"/>
      <c r="P133" s="28"/>
      <c r="Q133" s="35"/>
      <c r="R133" s="35"/>
      <c r="S133" s="35"/>
      <c r="T133" s="35"/>
      <c r="U133" s="35"/>
      <c r="V133" s="35"/>
      <c r="W133" s="35"/>
    </row>
    <row r="134" spans="1:23" s="27" customFormat="1" thickBot="1" x14ac:dyDescent="0.25">
      <c r="A134" s="41"/>
      <c r="B134" s="41"/>
      <c r="C134" s="42"/>
      <c r="D134" s="42"/>
      <c r="E134" s="42"/>
      <c r="F134" s="42"/>
      <c r="G134" s="35"/>
      <c r="H134" s="35"/>
      <c r="I134" s="42"/>
      <c r="J134" s="35"/>
      <c r="K134" s="47"/>
      <c r="L134" s="35"/>
      <c r="M134" s="35"/>
      <c r="N134"/>
      <c r="O134" s="47"/>
      <c r="P134" s="35"/>
      <c r="Q134" s="28"/>
      <c r="R134" s="28"/>
      <c r="S134" s="28"/>
      <c r="T134" s="28"/>
      <c r="U134" s="28"/>
      <c r="V134" s="28"/>
      <c r="W134" s="28"/>
    </row>
    <row r="135" spans="1:23" s="27" customFormat="1" thickBot="1" x14ac:dyDescent="0.25">
      <c r="A135" s="41"/>
      <c r="B135" s="41"/>
      <c r="C135" s="42"/>
      <c r="D135" s="42"/>
      <c r="E135" s="42"/>
      <c r="F135" s="42"/>
      <c r="G135" s="35"/>
      <c r="H135" s="35"/>
      <c r="I135" s="42"/>
      <c r="J135" s="35"/>
      <c r="K135" s="47"/>
      <c r="L135" s="35"/>
      <c r="M135" s="35"/>
      <c r="N135"/>
      <c r="O135" s="47"/>
      <c r="P135" s="29"/>
    </row>
    <row r="136" spans="1:23" s="27" customFormat="1" thickBot="1" x14ac:dyDescent="0.25">
      <c r="A136" s="41"/>
      <c r="B136" s="41"/>
      <c r="C136" s="42"/>
      <c r="D136" s="42"/>
      <c r="E136" s="42"/>
      <c r="F136" s="42"/>
      <c r="G136" s="35"/>
      <c r="H136" s="35"/>
      <c r="I136" s="42"/>
      <c r="J136" s="35"/>
      <c r="K136" s="47"/>
      <c r="L136" s="35"/>
      <c r="M136" s="35"/>
      <c r="N136"/>
      <c r="P136" s="29"/>
      <c r="Q136" s="28"/>
      <c r="R136" s="28"/>
      <c r="S136" s="28"/>
      <c r="T136" s="28"/>
      <c r="U136" s="28"/>
      <c r="V136" s="28"/>
      <c r="W136" s="28"/>
    </row>
    <row r="137" spans="1:23" s="27" customFormat="1" thickBot="1" x14ac:dyDescent="0.25">
      <c r="A137" s="41"/>
      <c r="B137" s="41"/>
      <c r="C137" s="42"/>
      <c r="D137" s="42"/>
      <c r="E137" s="42"/>
      <c r="F137" s="42"/>
      <c r="G137" s="35"/>
      <c r="H137" s="35"/>
      <c r="I137" s="42"/>
      <c r="J137" s="35"/>
      <c r="K137" s="47"/>
      <c r="L137" s="35"/>
      <c r="M137" s="35"/>
      <c r="N137"/>
      <c r="P137" s="28"/>
      <c r="Q137" s="35"/>
      <c r="R137" s="35"/>
      <c r="S137" s="35"/>
      <c r="T137" s="35"/>
      <c r="U137" s="35"/>
      <c r="V137" s="35"/>
      <c r="W137" s="35"/>
    </row>
    <row r="138" spans="1:23" s="27" customFormat="1" thickBot="1" x14ac:dyDescent="0.25">
      <c r="A138" s="41"/>
      <c r="B138" s="41"/>
      <c r="C138" s="42"/>
      <c r="D138" s="42"/>
      <c r="E138" s="42"/>
      <c r="F138" s="42"/>
      <c r="G138" s="35"/>
      <c r="H138" s="35"/>
      <c r="I138" s="42"/>
      <c r="J138" s="35"/>
      <c r="K138" s="47"/>
      <c r="L138" s="35"/>
      <c r="M138" s="35"/>
      <c r="N138"/>
      <c r="P138" s="35"/>
      <c r="Q138" s="29"/>
      <c r="R138" s="29"/>
      <c r="S138" s="29"/>
      <c r="T138" s="29"/>
      <c r="U138" s="29"/>
      <c r="V138" s="29"/>
      <c r="W138" s="29"/>
    </row>
    <row r="139" spans="1:23" s="27" customFormat="1" thickBot="1" x14ac:dyDescent="0.25">
      <c r="A139" s="41"/>
      <c r="B139" s="41"/>
      <c r="C139" s="42"/>
      <c r="D139" s="42"/>
      <c r="E139" s="42"/>
      <c r="F139" s="42"/>
      <c r="G139" s="35"/>
      <c r="H139" s="35"/>
      <c r="I139" s="42"/>
      <c r="J139" s="35"/>
      <c r="K139" s="47"/>
      <c r="L139" s="35"/>
      <c r="M139" s="35"/>
      <c r="N139"/>
      <c r="P139" s="28"/>
      <c r="Q139" s="35"/>
      <c r="R139" s="35"/>
      <c r="S139" s="35"/>
      <c r="T139" s="35"/>
      <c r="U139" s="35"/>
      <c r="V139" s="35"/>
      <c r="W139" s="35"/>
    </row>
    <row r="140" spans="1:23" s="27" customFormat="1" thickBot="1" x14ac:dyDescent="0.25">
      <c r="A140" s="41"/>
      <c r="B140" s="41"/>
      <c r="C140" s="42"/>
      <c r="D140" s="42"/>
      <c r="E140" s="42"/>
      <c r="F140" s="42"/>
      <c r="G140" s="35"/>
      <c r="H140" s="35"/>
      <c r="I140" s="42"/>
      <c r="J140" s="35"/>
      <c r="K140" s="47"/>
      <c r="L140" s="35"/>
      <c r="M140" s="35"/>
      <c r="N140"/>
      <c r="P140" s="28"/>
      <c r="Q140" s="28"/>
      <c r="R140" s="28"/>
      <c r="S140" s="28"/>
      <c r="T140" s="28"/>
      <c r="U140" s="28"/>
      <c r="V140" s="28"/>
      <c r="W140" s="28"/>
    </row>
    <row r="141" spans="1:23" s="27" customFormat="1" thickBot="1" x14ac:dyDescent="0.25">
      <c r="A141" s="41"/>
      <c r="B141" s="41"/>
      <c r="C141" s="42"/>
      <c r="D141" s="42"/>
      <c r="E141" s="42"/>
      <c r="F141" s="42"/>
      <c r="G141" s="35"/>
      <c r="H141" s="35"/>
      <c r="I141" s="42"/>
      <c r="J141" s="35"/>
      <c r="K141" s="47"/>
      <c r="L141" s="35"/>
      <c r="M141" s="35"/>
      <c r="N141"/>
      <c r="P141" s="29"/>
      <c r="Q141" s="35"/>
      <c r="R141" s="35"/>
      <c r="S141" s="35"/>
      <c r="T141" s="35"/>
      <c r="U141" s="35"/>
      <c r="V141" s="35"/>
      <c r="W141" s="35"/>
    </row>
    <row r="142" spans="1:23" s="27" customFormat="1" thickBot="1" x14ac:dyDescent="0.25">
      <c r="A142" s="41"/>
      <c r="B142" s="41"/>
      <c r="C142" s="42"/>
      <c r="D142" s="42"/>
      <c r="E142" s="42"/>
      <c r="F142" s="42"/>
      <c r="G142" s="35"/>
      <c r="H142" s="35"/>
      <c r="I142" s="42"/>
      <c r="J142" s="35"/>
      <c r="K142" s="47"/>
      <c r="L142" s="35"/>
      <c r="M142" s="35"/>
      <c r="N142"/>
      <c r="P142" s="29"/>
    </row>
    <row r="143" spans="1:23" s="27" customFormat="1" thickBot="1" x14ac:dyDescent="0.25">
      <c r="A143" s="41"/>
      <c r="B143" s="41"/>
      <c r="C143" s="42"/>
      <c r="D143" s="42"/>
      <c r="E143" s="42"/>
      <c r="F143" s="42"/>
      <c r="G143" s="35"/>
      <c r="H143" s="35"/>
      <c r="I143" s="42"/>
      <c r="J143" s="35"/>
      <c r="K143" s="47"/>
      <c r="L143" s="35"/>
      <c r="M143" s="35"/>
      <c r="N143"/>
      <c r="P143" s="29"/>
      <c r="Q143" s="35"/>
      <c r="R143" s="35"/>
      <c r="S143" s="35"/>
      <c r="T143" s="35"/>
      <c r="U143" s="35"/>
      <c r="V143" s="35"/>
      <c r="W143" s="35"/>
    </row>
    <row r="144" spans="1:23" s="27" customFormat="1" thickBot="1" x14ac:dyDescent="0.25">
      <c r="A144" s="41"/>
      <c r="B144" s="41"/>
      <c r="C144" s="42"/>
      <c r="D144" s="42"/>
      <c r="E144" s="42"/>
      <c r="F144" s="42"/>
      <c r="G144" s="35"/>
      <c r="H144" s="35"/>
      <c r="I144" s="42"/>
      <c r="J144" s="35"/>
      <c r="K144" s="47"/>
      <c r="L144" s="35"/>
      <c r="M144" s="35"/>
      <c r="N144"/>
      <c r="O144" s="29"/>
      <c r="P144" s="35"/>
      <c r="Q144" s="29"/>
      <c r="R144" s="29"/>
      <c r="S144" s="29"/>
      <c r="T144" s="29"/>
      <c r="U144" s="29"/>
      <c r="V144" s="29"/>
      <c r="W144" s="29"/>
    </row>
    <row r="145" spans="1:23" s="27" customFormat="1" thickBot="1" x14ac:dyDescent="0.25">
      <c r="A145" s="41"/>
      <c r="B145" s="41"/>
      <c r="C145" s="42"/>
      <c r="D145" s="42"/>
      <c r="E145" s="42"/>
      <c r="F145" s="42"/>
      <c r="G145" s="35"/>
      <c r="H145" s="35"/>
      <c r="I145" s="42"/>
      <c r="J145" s="35"/>
      <c r="K145" s="47"/>
      <c r="L145" s="35"/>
      <c r="M145" s="35"/>
      <c r="N145"/>
      <c r="O145" s="35"/>
      <c r="P145" s="29"/>
      <c r="Q145" s="29"/>
      <c r="R145" s="29"/>
      <c r="S145" s="29"/>
      <c r="T145" s="29"/>
      <c r="U145" s="29"/>
      <c r="V145" s="29"/>
      <c r="W145" s="29"/>
    </row>
    <row r="146" spans="1:23" s="27" customFormat="1" thickBot="1" x14ac:dyDescent="0.25">
      <c r="A146" s="41"/>
      <c r="B146" s="41"/>
      <c r="C146" s="42"/>
      <c r="D146" s="42"/>
      <c r="E146" s="42"/>
      <c r="F146" s="42"/>
      <c r="G146" s="35"/>
      <c r="H146" s="35"/>
      <c r="I146" s="42"/>
      <c r="J146" s="35"/>
      <c r="K146" s="47"/>
      <c r="L146" s="35"/>
      <c r="M146" s="35"/>
      <c r="N146"/>
      <c r="Q146" s="29"/>
      <c r="R146" s="29"/>
      <c r="S146" s="29"/>
      <c r="T146" s="29"/>
      <c r="U146" s="29"/>
      <c r="V146" s="29"/>
      <c r="W146" s="29"/>
    </row>
    <row r="147" spans="1:23" s="27" customFormat="1" thickBot="1" x14ac:dyDescent="0.25">
      <c r="A147" s="41"/>
      <c r="B147" s="41"/>
      <c r="C147" s="42"/>
      <c r="D147" s="42"/>
      <c r="E147" s="42"/>
      <c r="F147" s="42"/>
      <c r="G147" s="35"/>
      <c r="H147" s="35"/>
      <c r="I147" s="42"/>
      <c r="J147" s="35"/>
      <c r="K147" s="47"/>
      <c r="L147" s="35"/>
      <c r="M147" s="35"/>
      <c r="N147"/>
      <c r="O147" s="35"/>
      <c r="P147" s="29"/>
      <c r="Q147" s="29"/>
      <c r="R147" s="29"/>
      <c r="S147" s="29"/>
      <c r="T147" s="29"/>
      <c r="U147" s="29"/>
      <c r="V147" s="29"/>
      <c r="W147" s="29"/>
    </row>
    <row r="148" spans="1:23" s="27" customFormat="1" thickBot="1" x14ac:dyDescent="0.25">
      <c r="A148" s="41"/>
      <c r="B148" s="41"/>
      <c r="C148" s="42"/>
      <c r="D148" s="42"/>
      <c r="E148" s="42"/>
      <c r="F148" s="42"/>
      <c r="G148" s="35"/>
      <c r="H148" s="35"/>
      <c r="I148" s="42"/>
      <c r="J148" s="35"/>
      <c r="K148" s="47"/>
      <c r="L148" s="35"/>
      <c r="M148" s="35"/>
      <c r="N148"/>
      <c r="O148" s="29"/>
      <c r="P148" s="29"/>
      <c r="Q148" s="29"/>
      <c r="R148" s="29"/>
      <c r="S148" s="29"/>
      <c r="T148" s="29"/>
      <c r="U148" s="29"/>
      <c r="V148" s="29"/>
      <c r="W148" s="29"/>
    </row>
    <row r="149" spans="1:23" s="27" customFormat="1" thickBot="1" x14ac:dyDescent="0.25">
      <c r="A149" s="41"/>
      <c r="B149" s="41"/>
      <c r="C149" s="42"/>
      <c r="D149" s="42"/>
      <c r="E149" s="42"/>
      <c r="F149" s="42"/>
      <c r="G149" s="35"/>
      <c r="H149" s="35"/>
      <c r="I149" s="42"/>
      <c r="J149" s="35"/>
      <c r="K149" s="47"/>
      <c r="L149" s="35"/>
      <c r="M149" s="35"/>
      <c r="N149"/>
      <c r="P149" s="29"/>
      <c r="Q149" s="29"/>
      <c r="R149" s="29"/>
      <c r="S149" s="29"/>
      <c r="T149" s="29"/>
      <c r="U149" s="29"/>
      <c r="V149" s="29"/>
      <c r="W149" s="29"/>
    </row>
    <row r="150" spans="1:23" s="27" customFormat="1" thickBot="1" x14ac:dyDescent="0.25">
      <c r="A150" s="41"/>
      <c r="B150" s="41"/>
      <c r="C150" s="42"/>
      <c r="D150" s="42"/>
      <c r="E150" s="42"/>
      <c r="F150" s="42"/>
      <c r="G150" s="35"/>
      <c r="H150" s="35"/>
      <c r="I150" s="42"/>
      <c r="J150" s="35"/>
      <c r="K150" s="47"/>
      <c r="L150" s="35"/>
      <c r="M150" s="35"/>
      <c r="N150"/>
      <c r="O150" s="29"/>
      <c r="P150" s="35"/>
      <c r="Q150" s="29"/>
      <c r="R150" s="29"/>
      <c r="S150" s="29"/>
      <c r="T150" s="29"/>
      <c r="U150" s="29"/>
      <c r="V150" s="29"/>
      <c r="W150" s="29"/>
    </row>
    <row r="151" spans="1:23" s="27" customFormat="1" thickBot="1" x14ac:dyDescent="0.25">
      <c r="A151" s="41"/>
      <c r="B151" s="41"/>
      <c r="C151" s="42"/>
      <c r="D151" s="42"/>
      <c r="E151" s="42"/>
      <c r="F151" s="42"/>
      <c r="G151" s="35"/>
      <c r="H151" s="35"/>
      <c r="I151" s="42"/>
      <c r="J151" s="35"/>
      <c r="K151" s="47"/>
      <c r="L151" s="35"/>
      <c r="M151" s="35"/>
      <c r="N151"/>
      <c r="P151" s="29"/>
      <c r="Q151" s="29"/>
      <c r="R151" s="29"/>
      <c r="S151" s="29"/>
      <c r="T151" s="29"/>
      <c r="U151" s="29"/>
      <c r="V151" s="29"/>
      <c r="W151" s="29"/>
    </row>
    <row r="152" spans="1:23" s="27" customFormat="1" thickBot="1" x14ac:dyDescent="0.25">
      <c r="A152" s="41"/>
      <c r="B152" s="41"/>
      <c r="C152" s="42"/>
      <c r="D152" s="42"/>
      <c r="E152" s="42"/>
      <c r="F152" s="42"/>
      <c r="G152" s="35"/>
      <c r="H152" s="35"/>
      <c r="I152" s="42"/>
      <c r="J152" s="35"/>
      <c r="K152" s="47"/>
      <c r="L152" s="35"/>
      <c r="M152" s="35"/>
      <c r="N152"/>
      <c r="O152" s="35"/>
      <c r="P152" s="29"/>
    </row>
    <row r="153" spans="1:23" s="27" customFormat="1" thickBot="1" x14ac:dyDescent="0.25">
      <c r="A153" s="41"/>
      <c r="B153" s="41"/>
      <c r="C153" s="42"/>
      <c r="D153" s="42"/>
      <c r="E153" s="42"/>
      <c r="F153" s="42"/>
      <c r="G153" s="35"/>
      <c r="H153" s="35"/>
      <c r="I153" s="42"/>
      <c r="J153" s="35"/>
      <c r="K153" s="47"/>
      <c r="L153" s="35"/>
      <c r="M153" s="35"/>
      <c r="N153"/>
      <c r="P153" s="29"/>
      <c r="Q153" s="29"/>
      <c r="R153" s="29"/>
      <c r="S153" s="29"/>
      <c r="T153" s="29"/>
      <c r="U153" s="29"/>
      <c r="V153" s="29"/>
      <c r="W153" s="29"/>
    </row>
    <row r="154" spans="1:23" s="27" customFormat="1" thickBot="1" x14ac:dyDescent="0.25">
      <c r="A154" s="41"/>
      <c r="B154" s="41"/>
      <c r="C154" s="42"/>
      <c r="D154" s="42"/>
      <c r="E154" s="42"/>
      <c r="F154" s="42"/>
      <c r="G154" s="35"/>
      <c r="H154" s="35"/>
      <c r="I154" s="42"/>
      <c r="J154" s="35"/>
      <c r="K154" s="47"/>
      <c r="L154" s="35"/>
      <c r="M154" s="35"/>
      <c r="N154"/>
      <c r="O154" s="29"/>
      <c r="P154" s="29"/>
    </row>
    <row r="155" spans="1:23" s="27" customFormat="1" thickBot="1" x14ac:dyDescent="0.25">
      <c r="A155" s="41"/>
      <c r="B155" s="41"/>
      <c r="C155" s="42"/>
      <c r="D155" s="42"/>
      <c r="E155" s="42"/>
      <c r="F155" s="42"/>
      <c r="G155" s="35"/>
      <c r="H155" s="35"/>
      <c r="I155" s="42"/>
      <c r="J155" s="35"/>
      <c r="K155" s="47"/>
      <c r="L155" s="35"/>
      <c r="M155" s="35"/>
      <c r="N155"/>
      <c r="O155" s="29"/>
      <c r="P155" s="35"/>
      <c r="Q155" s="29"/>
      <c r="R155" s="29"/>
      <c r="S155" s="29"/>
      <c r="T155" s="29"/>
      <c r="U155" s="29"/>
      <c r="V155" s="29"/>
      <c r="W155" s="29"/>
    </row>
    <row r="156" spans="1:23" s="27" customFormat="1" thickBot="1" x14ac:dyDescent="0.25">
      <c r="A156" s="41"/>
      <c r="B156" s="41"/>
      <c r="C156" s="42"/>
      <c r="D156" s="42"/>
      <c r="E156" s="42"/>
      <c r="F156" s="42"/>
      <c r="G156" s="35"/>
      <c r="H156" s="35"/>
      <c r="I156" s="42"/>
      <c r="J156" s="35"/>
      <c r="K156" s="47"/>
      <c r="L156" s="35"/>
      <c r="M156" s="35"/>
      <c r="N156"/>
      <c r="O156" s="29"/>
      <c r="P156" s="29"/>
      <c r="Q156" s="29"/>
      <c r="R156" s="29"/>
      <c r="S156" s="29"/>
      <c r="T156" s="29"/>
      <c r="U156" s="29"/>
      <c r="V156" s="29"/>
      <c r="W156" s="29"/>
    </row>
    <row r="157" spans="1:23" s="27" customFormat="1" thickBot="1" x14ac:dyDescent="0.25">
      <c r="A157" s="41"/>
      <c r="B157" s="41"/>
      <c r="C157" s="42"/>
      <c r="D157" s="42"/>
      <c r="E157" s="42"/>
      <c r="F157" s="42"/>
      <c r="G157" s="35"/>
      <c r="H157" s="35"/>
      <c r="I157" s="42"/>
      <c r="J157" s="35"/>
      <c r="K157" s="47"/>
      <c r="L157" s="35"/>
      <c r="M157" s="35"/>
      <c r="N157"/>
      <c r="O157" s="29"/>
      <c r="P157" s="29"/>
      <c r="Q157" s="29"/>
      <c r="R157" s="29"/>
      <c r="S157" s="29"/>
      <c r="T157" s="29"/>
      <c r="U157" s="29"/>
      <c r="V157" s="29"/>
      <c r="W157" s="29"/>
    </row>
    <row r="158" spans="1:23" s="27" customFormat="1" thickBot="1" x14ac:dyDescent="0.25">
      <c r="A158" s="41"/>
      <c r="B158" s="41"/>
      <c r="C158" s="42"/>
      <c r="D158" s="42"/>
      <c r="E158" s="42"/>
      <c r="F158" s="42"/>
      <c r="G158" s="35"/>
      <c r="H158" s="35"/>
      <c r="I158" s="42"/>
      <c r="J158" s="35"/>
      <c r="K158" s="47"/>
      <c r="L158" s="35"/>
      <c r="M158" s="35"/>
      <c r="N158"/>
      <c r="O158" s="29"/>
      <c r="P158" s="35"/>
    </row>
    <row r="159" spans="1:23" s="27" customFormat="1" thickBot="1" x14ac:dyDescent="0.25">
      <c r="A159" s="41"/>
      <c r="B159" s="41"/>
      <c r="C159" s="42"/>
      <c r="D159" s="42"/>
      <c r="E159" s="42"/>
      <c r="F159" s="42"/>
      <c r="G159" s="35"/>
      <c r="H159" s="35"/>
      <c r="I159" s="42"/>
      <c r="J159" s="35"/>
      <c r="K159" s="47"/>
      <c r="L159" s="35"/>
      <c r="M159" s="35"/>
      <c r="N159"/>
      <c r="O159" s="35"/>
      <c r="Q159" s="28"/>
      <c r="R159" s="28"/>
      <c r="S159" s="28"/>
      <c r="T159" s="28"/>
      <c r="U159" s="28"/>
      <c r="V159" s="28"/>
      <c r="W159" s="28"/>
    </row>
    <row r="160" spans="1:23" s="27" customFormat="1" thickBot="1" x14ac:dyDescent="0.25">
      <c r="A160" s="41"/>
      <c r="B160" s="41"/>
      <c r="C160" s="42"/>
      <c r="D160" s="42"/>
      <c r="E160" s="42"/>
      <c r="F160" s="42"/>
      <c r="G160" s="35"/>
      <c r="H160" s="35"/>
      <c r="I160" s="42"/>
      <c r="J160" s="35"/>
      <c r="K160" s="47"/>
      <c r="L160" s="35"/>
      <c r="M160" s="35"/>
      <c r="N160"/>
      <c r="O160" s="35"/>
      <c r="P160" s="29"/>
      <c r="Q160" s="29"/>
      <c r="R160" s="29"/>
      <c r="S160" s="29"/>
      <c r="T160" s="29"/>
      <c r="U160" s="29"/>
      <c r="V160" s="29"/>
      <c r="W160" s="29"/>
    </row>
    <row r="161" spans="1:23" s="27" customFormat="1" thickBot="1" x14ac:dyDescent="0.25">
      <c r="A161" s="41"/>
      <c r="B161" s="41"/>
      <c r="C161" s="42"/>
      <c r="D161" s="42"/>
      <c r="E161" s="42"/>
      <c r="F161" s="42"/>
      <c r="G161" s="35"/>
      <c r="H161" s="35"/>
      <c r="I161" s="42"/>
      <c r="J161" s="35"/>
      <c r="K161" s="47"/>
      <c r="L161" s="35"/>
      <c r="M161" s="35"/>
      <c r="N161"/>
      <c r="P161" s="29"/>
      <c r="Q161" s="29"/>
      <c r="R161" s="29"/>
      <c r="S161" s="29"/>
      <c r="T161" s="29"/>
      <c r="U161" s="29"/>
      <c r="V161" s="29"/>
      <c r="W161" s="29"/>
    </row>
    <row r="162" spans="1:23" s="27" customFormat="1" thickBot="1" x14ac:dyDescent="0.25">
      <c r="A162" s="41"/>
      <c r="B162" s="41"/>
      <c r="C162" s="42"/>
      <c r="D162" s="42"/>
      <c r="E162" s="42"/>
      <c r="F162" s="42"/>
      <c r="G162" s="35"/>
      <c r="H162" s="35"/>
      <c r="I162" s="42"/>
      <c r="J162" s="35"/>
      <c r="K162" s="47"/>
      <c r="L162" s="35"/>
      <c r="M162" s="35"/>
      <c r="N162"/>
      <c r="O162" s="29"/>
      <c r="P162" s="29"/>
      <c r="Q162" s="29"/>
      <c r="R162" s="29"/>
      <c r="S162" s="29"/>
      <c r="T162" s="29"/>
      <c r="U162" s="29"/>
      <c r="V162" s="29"/>
      <c r="W162" s="29"/>
    </row>
    <row r="163" spans="1:23" s="27" customFormat="1" thickBot="1" x14ac:dyDescent="0.25">
      <c r="A163" s="41"/>
      <c r="B163" s="41"/>
      <c r="C163" s="42"/>
      <c r="D163" s="42"/>
      <c r="E163" s="42"/>
      <c r="F163" s="42"/>
      <c r="G163" s="35"/>
      <c r="H163" s="35"/>
      <c r="I163" s="42"/>
      <c r="J163" s="35"/>
      <c r="K163" s="47"/>
      <c r="L163" s="35"/>
      <c r="M163" s="35"/>
      <c r="N163"/>
      <c r="O163" s="29"/>
      <c r="P163" s="29"/>
      <c r="Q163" s="35"/>
      <c r="R163" s="35"/>
      <c r="S163" s="35"/>
      <c r="T163" s="35"/>
      <c r="U163" s="35"/>
      <c r="V163" s="35"/>
      <c r="W163" s="35"/>
    </row>
    <row r="164" spans="1:23" s="27" customFormat="1" thickBot="1" x14ac:dyDescent="0.25">
      <c r="A164" s="41"/>
      <c r="B164" s="41"/>
      <c r="C164" s="42"/>
      <c r="D164" s="42"/>
      <c r="E164" s="42"/>
      <c r="F164" s="42"/>
      <c r="G164" s="35"/>
      <c r="H164" s="35"/>
      <c r="I164" s="42"/>
      <c r="J164" s="35"/>
      <c r="K164" s="47"/>
      <c r="L164" s="35"/>
      <c r="M164" s="35"/>
      <c r="N164"/>
      <c r="O164" s="29"/>
      <c r="P164" s="29"/>
      <c r="Q164" s="29"/>
      <c r="R164" s="29"/>
      <c r="S164" s="29"/>
      <c r="T164" s="29"/>
      <c r="U164" s="29"/>
      <c r="V164" s="29"/>
      <c r="W164" s="29"/>
    </row>
    <row r="165" spans="1:23" s="27" customFormat="1" thickBot="1" x14ac:dyDescent="0.25">
      <c r="A165" s="41"/>
      <c r="B165" s="41"/>
      <c r="C165" s="42"/>
      <c r="D165" s="42"/>
      <c r="E165" s="42"/>
      <c r="F165" s="42"/>
      <c r="G165" s="35"/>
      <c r="H165" s="35"/>
      <c r="I165" s="42"/>
      <c r="J165" s="35"/>
      <c r="K165" s="47"/>
      <c r="L165" s="35"/>
      <c r="M165" s="35"/>
      <c r="N165"/>
      <c r="O165" s="35"/>
      <c r="P165" s="29"/>
      <c r="Q165" s="35"/>
      <c r="R165" s="35"/>
      <c r="S165" s="35"/>
      <c r="T165" s="35"/>
      <c r="U165" s="35"/>
      <c r="V165" s="35"/>
      <c r="W165" s="35"/>
    </row>
    <row r="166" spans="1:23" s="27" customFormat="1" thickBot="1" x14ac:dyDescent="0.25">
      <c r="A166" s="41"/>
      <c r="B166" s="41"/>
      <c r="C166" s="42"/>
      <c r="D166" s="42"/>
      <c r="E166" s="42"/>
      <c r="F166" s="42"/>
      <c r="G166" s="35"/>
      <c r="H166" s="35"/>
      <c r="I166" s="42"/>
      <c r="J166" s="35"/>
      <c r="K166" s="47"/>
      <c r="L166" s="35"/>
      <c r="M166" s="35"/>
      <c r="N166"/>
      <c r="O166" s="35"/>
      <c r="P166" s="29"/>
      <c r="Q166" s="29"/>
      <c r="R166" s="29"/>
      <c r="S166" s="29"/>
      <c r="T166" s="29"/>
      <c r="U166" s="29"/>
      <c r="V166" s="29"/>
      <c r="W166" s="29"/>
    </row>
    <row r="167" spans="1:23" s="27" customFormat="1" thickBot="1" x14ac:dyDescent="0.25">
      <c r="A167" s="41"/>
      <c r="B167" s="41"/>
      <c r="C167" s="42"/>
      <c r="D167" s="42"/>
      <c r="E167" s="42"/>
      <c r="F167" s="42"/>
      <c r="G167" s="35"/>
      <c r="H167" s="35"/>
      <c r="I167" s="42"/>
      <c r="J167" s="35"/>
      <c r="K167" s="47"/>
      <c r="L167" s="35"/>
      <c r="M167" s="35"/>
      <c r="N167"/>
      <c r="O167" s="35"/>
      <c r="P167" s="35"/>
      <c r="Q167" s="35"/>
      <c r="R167" s="35"/>
      <c r="S167" s="35"/>
      <c r="T167" s="35"/>
      <c r="U167" s="35"/>
      <c r="V167" s="35"/>
      <c r="W167" s="35"/>
    </row>
    <row r="168" spans="1:23" s="27" customFormat="1" thickBot="1" x14ac:dyDescent="0.25">
      <c r="A168" s="41"/>
      <c r="B168" s="41"/>
      <c r="C168" s="42"/>
      <c r="D168" s="42"/>
      <c r="E168" s="42"/>
      <c r="F168" s="42"/>
      <c r="G168" s="35"/>
      <c r="H168" s="35"/>
      <c r="I168" s="42"/>
      <c r="J168" s="35"/>
      <c r="K168" s="47"/>
      <c r="L168" s="35"/>
      <c r="M168" s="35"/>
      <c r="N168"/>
      <c r="O168" s="35"/>
      <c r="P168" s="35"/>
      <c r="Q168" s="29"/>
      <c r="R168" s="29"/>
      <c r="S168" s="29"/>
      <c r="T168" s="29"/>
      <c r="U168" s="29"/>
      <c r="V168" s="29"/>
      <c r="W168" s="29"/>
    </row>
    <row r="169" spans="1:23" s="27" customFormat="1" thickBot="1" x14ac:dyDescent="0.25">
      <c r="A169" s="41"/>
      <c r="B169" s="41"/>
      <c r="C169" s="42"/>
      <c r="D169" s="42"/>
      <c r="E169" s="42"/>
      <c r="F169" s="42"/>
      <c r="G169" s="35"/>
      <c r="H169" s="35"/>
      <c r="I169" s="42"/>
      <c r="J169" s="35"/>
      <c r="K169" s="47"/>
      <c r="L169" s="35"/>
      <c r="M169" s="35"/>
      <c r="N169"/>
      <c r="O169" s="35"/>
      <c r="P169" s="35"/>
    </row>
    <row r="170" spans="1:23" s="27" customFormat="1" thickBot="1" x14ac:dyDescent="0.25">
      <c r="A170" s="41"/>
      <c r="B170" s="41"/>
      <c r="C170" s="42"/>
      <c r="D170" s="42"/>
      <c r="E170" s="42"/>
      <c r="F170" s="42"/>
      <c r="G170" s="35"/>
      <c r="H170" s="35"/>
      <c r="I170" s="42"/>
      <c r="J170" s="35"/>
      <c r="K170" s="47"/>
      <c r="L170" s="35"/>
      <c r="M170" s="35"/>
      <c r="N170"/>
      <c r="O170" s="35"/>
      <c r="P170" s="29"/>
      <c r="Q170" s="29"/>
      <c r="R170" s="29"/>
      <c r="S170" s="29"/>
      <c r="T170" s="29"/>
      <c r="U170" s="29"/>
      <c r="V170" s="29"/>
      <c r="W170" s="29"/>
    </row>
    <row r="171" spans="1:23" s="27" customFormat="1" thickBot="1" x14ac:dyDescent="0.25">
      <c r="A171" s="41"/>
      <c r="B171" s="41"/>
      <c r="C171" s="42"/>
      <c r="D171" s="42"/>
      <c r="E171" s="42"/>
      <c r="F171" s="42"/>
      <c r="G171" s="35"/>
      <c r="H171" s="35"/>
      <c r="I171" s="42"/>
      <c r="J171" s="35"/>
      <c r="K171" s="47"/>
      <c r="L171" s="35"/>
      <c r="M171" s="35"/>
      <c r="N171"/>
      <c r="O171" s="35"/>
      <c r="P171" s="29"/>
      <c r="Q171" s="29"/>
      <c r="R171" s="29"/>
      <c r="S171" s="29"/>
      <c r="T171" s="29"/>
      <c r="U171" s="29"/>
      <c r="V171" s="29"/>
      <c r="W171" s="29"/>
    </row>
    <row r="172" spans="1:23" s="27" customFormat="1" thickBot="1" x14ac:dyDescent="0.25">
      <c r="A172" s="41"/>
      <c r="B172" s="41"/>
      <c r="C172" s="42"/>
      <c r="D172" s="42"/>
      <c r="E172" s="42"/>
      <c r="F172" s="42"/>
      <c r="G172" s="35"/>
      <c r="H172" s="35"/>
      <c r="I172" s="42"/>
      <c r="J172" s="35"/>
      <c r="K172" s="47"/>
      <c r="L172" s="35"/>
      <c r="M172" s="35"/>
      <c r="N172"/>
      <c r="O172" s="29"/>
      <c r="Q172" s="35"/>
      <c r="R172" s="35"/>
      <c r="S172" s="35"/>
      <c r="T172" s="35"/>
      <c r="U172" s="35"/>
      <c r="V172" s="35"/>
      <c r="W172" s="35"/>
    </row>
    <row r="173" spans="1:23" s="27" customFormat="1" thickBot="1" x14ac:dyDescent="0.25">
      <c r="A173" s="41"/>
      <c r="B173" s="41"/>
      <c r="C173" s="42"/>
      <c r="D173" s="42"/>
      <c r="E173" s="42"/>
      <c r="F173" s="42"/>
      <c r="G173" s="35"/>
      <c r="H173" s="35"/>
      <c r="I173" s="42"/>
      <c r="J173" s="35"/>
      <c r="K173" s="47"/>
      <c r="L173" s="35"/>
      <c r="M173" s="35"/>
      <c r="N173"/>
      <c r="O173" s="29"/>
      <c r="P173" s="29"/>
      <c r="Q173" s="29"/>
      <c r="R173" s="29"/>
      <c r="S173" s="29"/>
      <c r="T173" s="29"/>
      <c r="U173" s="29"/>
      <c r="V173" s="29"/>
      <c r="W173" s="29"/>
    </row>
    <row r="174" spans="1:23" s="27" customFormat="1" thickBot="1" x14ac:dyDescent="0.25">
      <c r="A174" s="41"/>
      <c r="B174" s="41"/>
      <c r="C174" s="42"/>
      <c r="D174" s="42"/>
      <c r="E174" s="42"/>
      <c r="F174" s="42"/>
      <c r="G174" s="35"/>
      <c r="H174" s="35"/>
      <c r="I174" s="42"/>
      <c r="J174" s="35"/>
      <c r="K174" s="47"/>
      <c r="L174" s="35"/>
      <c r="M174" s="35"/>
      <c r="N174"/>
      <c r="O174" s="35"/>
      <c r="P174" s="29"/>
      <c r="Q174" s="35"/>
      <c r="R174" s="35"/>
      <c r="S174" s="35"/>
      <c r="T174" s="35"/>
      <c r="U174" s="35"/>
      <c r="V174" s="35"/>
      <c r="W174" s="35"/>
    </row>
    <row r="175" spans="1:23" s="27" customFormat="1" thickBot="1" x14ac:dyDescent="0.25">
      <c r="A175" s="41"/>
      <c r="B175" s="41"/>
      <c r="C175" s="42"/>
      <c r="D175" s="42"/>
      <c r="E175" s="42"/>
      <c r="F175" s="42"/>
      <c r="G175" s="35"/>
      <c r="H175" s="35"/>
      <c r="I175" s="42"/>
      <c r="J175" s="35"/>
      <c r="K175" s="47"/>
      <c r="L175" s="35"/>
      <c r="M175" s="35"/>
      <c r="N175"/>
      <c r="O175" s="29"/>
      <c r="P175" s="29"/>
      <c r="Q175" s="29"/>
      <c r="R175" s="29"/>
      <c r="S175" s="29"/>
      <c r="T175" s="29"/>
      <c r="U175" s="29"/>
      <c r="V175" s="29"/>
      <c r="W175" s="29"/>
    </row>
    <row r="176" spans="1:23" s="27" customFormat="1" thickBot="1" x14ac:dyDescent="0.25">
      <c r="A176" s="41"/>
      <c r="B176" s="41"/>
      <c r="C176" s="42"/>
      <c r="D176" s="42"/>
      <c r="E176" s="42"/>
      <c r="F176" s="42"/>
      <c r="G176" s="35"/>
      <c r="H176" s="35"/>
      <c r="I176" s="42"/>
      <c r="J176" s="35"/>
      <c r="K176" s="47"/>
      <c r="L176" s="35"/>
      <c r="M176" s="35"/>
      <c r="N176"/>
      <c r="O176" s="29"/>
      <c r="P176" s="35"/>
      <c r="Q176" s="29"/>
      <c r="R176" s="29"/>
      <c r="S176" s="29"/>
      <c r="T176" s="29"/>
      <c r="U176" s="29"/>
      <c r="V176" s="29"/>
      <c r="W176" s="29"/>
    </row>
    <row r="177" spans="1:23" s="27" customFormat="1" thickBot="1" x14ac:dyDescent="0.25">
      <c r="A177" s="41"/>
      <c r="B177" s="41"/>
      <c r="C177" s="42"/>
      <c r="D177" s="42"/>
      <c r="E177" s="42"/>
      <c r="F177" s="42"/>
      <c r="G177" s="35"/>
      <c r="H177" s="35"/>
      <c r="I177" s="42"/>
      <c r="J177" s="35"/>
      <c r="K177" s="47"/>
      <c r="L177" s="35"/>
      <c r="M177" s="35"/>
      <c r="N177"/>
      <c r="O177" s="29"/>
      <c r="P177" s="35"/>
      <c r="Q177" s="35"/>
      <c r="R177" s="35"/>
      <c r="S177" s="35"/>
      <c r="T177" s="35"/>
      <c r="U177" s="35"/>
      <c r="V177" s="35"/>
      <c r="W177" s="35"/>
    </row>
    <row r="178" spans="1:23" s="27" customFormat="1" thickBot="1" x14ac:dyDescent="0.25">
      <c r="A178" s="41"/>
      <c r="B178" s="41"/>
      <c r="C178" s="42"/>
      <c r="D178" s="42"/>
      <c r="E178" s="42"/>
      <c r="F178" s="42"/>
      <c r="G178" s="35"/>
      <c r="H178" s="35"/>
      <c r="I178" s="42"/>
      <c r="J178" s="35"/>
      <c r="K178" s="47"/>
      <c r="L178" s="35"/>
      <c r="M178" s="35"/>
      <c r="N178"/>
      <c r="O178" s="35"/>
      <c r="P178" s="35"/>
      <c r="Q178" s="35"/>
      <c r="R178" s="35"/>
      <c r="S178" s="35"/>
      <c r="T178" s="35"/>
      <c r="U178" s="35"/>
      <c r="V178" s="35"/>
      <c r="W178" s="35"/>
    </row>
    <row r="179" spans="1:23" s="27" customFormat="1" thickBot="1" x14ac:dyDescent="0.25">
      <c r="A179" s="41"/>
      <c r="B179" s="41"/>
      <c r="C179" s="42"/>
      <c r="D179" s="42"/>
      <c r="E179" s="42"/>
      <c r="F179" s="42"/>
      <c r="G179" s="35"/>
      <c r="H179" s="35"/>
      <c r="I179" s="42"/>
      <c r="J179" s="35"/>
      <c r="K179" s="47"/>
      <c r="L179" s="35"/>
      <c r="M179" s="35"/>
      <c r="N179"/>
      <c r="O179" s="35"/>
      <c r="P179" s="29"/>
      <c r="Q179" s="29"/>
      <c r="R179" s="29"/>
      <c r="S179" s="29"/>
      <c r="T179" s="29"/>
      <c r="U179" s="29"/>
      <c r="V179" s="29"/>
      <c r="W179" s="29"/>
    </row>
    <row r="180" spans="1:23" s="27" customFormat="1" thickBot="1" x14ac:dyDescent="0.25">
      <c r="A180" s="41"/>
      <c r="B180" s="41"/>
      <c r="C180" s="42"/>
      <c r="D180" s="42"/>
      <c r="E180" s="42"/>
      <c r="F180" s="42"/>
      <c r="G180" s="35"/>
      <c r="H180" s="35"/>
      <c r="I180" s="42"/>
      <c r="J180" s="35"/>
      <c r="K180" s="47"/>
      <c r="L180" s="35"/>
      <c r="M180" s="35"/>
      <c r="N180"/>
      <c r="O180" s="29"/>
      <c r="P180" s="29"/>
    </row>
    <row r="181" spans="1:23" s="27" customFormat="1" thickBot="1" x14ac:dyDescent="0.25">
      <c r="A181" s="41"/>
      <c r="B181" s="41"/>
      <c r="C181" s="42"/>
      <c r="D181" s="42"/>
      <c r="E181" s="42"/>
      <c r="F181" s="42"/>
      <c r="G181" s="35"/>
      <c r="H181" s="35"/>
      <c r="I181" s="42"/>
      <c r="J181" s="35"/>
      <c r="K181" s="47"/>
      <c r="L181" s="35"/>
      <c r="M181" s="35"/>
      <c r="N181"/>
      <c r="O181" s="29"/>
      <c r="Q181" s="29"/>
      <c r="R181" s="29"/>
      <c r="S181" s="29"/>
      <c r="T181" s="29"/>
      <c r="U181" s="29"/>
      <c r="V181" s="29"/>
      <c r="W181" s="29"/>
    </row>
    <row r="182" spans="1:23" s="27" customFormat="1" thickBot="1" x14ac:dyDescent="0.25">
      <c r="A182" s="41"/>
      <c r="B182" s="41"/>
      <c r="C182" s="42"/>
      <c r="D182" s="42"/>
      <c r="E182" s="42"/>
      <c r="F182" s="42"/>
      <c r="G182" s="35"/>
      <c r="H182" s="35"/>
      <c r="I182" s="42"/>
      <c r="J182" s="35"/>
      <c r="K182" s="47"/>
      <c r="L182" s="35"/>
      <c r="M182" s="35"/>
      <c r="N182"/>
      <c r="P182" s="29"/>
      <c r="Q182" s="28"/>
      <c r="R182" s="28"/>
      <c r="S182" s="28"/>
      <c r="T182" s="28"/>
      <c r="U182" s="28"/>
      <c r="V182" s="28"/>
      <c r="W182" s="28"/>
    </row>
    <row r="183" spans="1:23" s="27" customFormat="1" thickBot="1" x14ac:dyDescent="0.25">
      <c r="A183" s="41"/>
      <c r="B183" s="41"/>
      <c r="C183" s="42"/>
      <c r="D183" s="42"/>
      <c r="E183" s="42"/>
      <c r="F183" s="42"/>
      <c r="G183" s="35"/>
      <c r="H183" s="35"/>
      <c r="I183" s="42"/>
      <c r="J183" s="35"/>
      <c r="K183" s="47"/>
      <c r="L183" s="35"/>
      <c r="M183" s="35"/>
      <c r="N183"/>
      <c r="O183" s="35"/>
      <c r="P183" s="35"/>
      <c r="Q183" s="35"/>
      <c r="R183" s="35"/>
      <c r="S183" s="35"/>
      <c r="T183" s="35"/>
      <c r="U183" s="35"/>
      <c r="V183" s="35"/>
      <c r="W183" s="35"/>
    </row>
    <row r="184" spans="1:23" s="27" customFormat="1" thickBot="1" x14ac:dyDescent="0.25">
      <c r="A184" s="41"/>
      <c r="B184" s="41"/>
      <c r="C184" s="42"/>
      <c r="D184" s="42"/>
      <c r="E184" s="42"/>
      <c r="F184" s="42"/>
      <c r="G184" s="35"/>
      <c r="H184" s="35"/>
      <c r="I184" s="42"/>
      <c r="J184" s="35"/>
      <c r="K184" s="47"/>
      <c r="L184" s="35"/>
      <c r="M184" s="35"/>
      <c r="N184"/>
      <c r="O184" s="35"/>
      <c r="P184" s="29"/>
    </row>
    <row r="185" spans="1:23" s="27" customFormat="1" thickBot="1" x14ac:dyDescent="0.25">
      <c r="A185" s="41"/>
      <c r="B185" s="41"/>
      <c r="C185" s="42"/>
      <c r="D185" s="42"/>
      <c r="E185" s="42"/>
      <c r="F185" s="42"/>
      <c r="G185" s="35"/>
      <c r="H185" s="35"/>
      <c r="I185" s="42"/>
      <c r="J185" s="35"/>
      <c r="K185" s="47"/>
      <c r="L185" s="35"/>
      <c r="M185" s="35"/>
      <c r="N185"/>
      <c r="P185" s="29"/>
      <c r="Q185" s="35"/>
      <c r="R185" s="35"/>
      <c r="S185" s="35"/>
      <c r="T185" s="35"/>
      <c r="U185" s="35"/>
      <c r="V185" s="35"/>
      <c r="W185" s="35"/>
    </row>
    <row r="186" spans="1:23" s="27" customFormat="1" thickBot="1" x14ac:dyDescent="0.25">
      <c r="A186" s="41"/>
      <c r="B186" s="41"/>
      <c r="C186" s="42"/>
      <c r="D186" s="42"/>
      <c r="E186" s="42"/>
      <c r="F186" s="42"/>
      <c r="G186" s="35"/>
      <c r="H186" s="35"/>
      <c r="I186" s="42"/>
      <c r="J186" s="35"/>
      <c r="K186" s="47"/>
      <c r="L186" s="35"/>
      <c r="M186" s="35"/>
      <c r="N186"/>
      <c r="O186" s="35"/>
      <c r="P186" s="29"/>
      <c r="Q186" s="35"/>
      <c r="R186" s="35"/>
      <c r="S186" s="35"/>
      <c r="T186" s="35"/>
      <c r="U186" s="35"/>
      <c r="V186" s="35"/>
      <c r="W186" s="35"/>
    </row>
    <row r="187" spans="1:23" s="27" customFormat="1" thickBot="1" x14ac:dyDescent="0.25">
      <c r="A187" s="41"/>
      <c r="B187" s="41"/>
      <c r="C187" s="42"/>
      <c r="D187" s="42"/>
      <c r="E187" s="42"/>
      <c r="F187" s="42"/>
      <c r="G187" s="35"/>
      <c r="H187" s="35"/>
      <c r="I187" s="42"/>
      <c r="J187" s="35"/>
      <c r="K187" s="47"/>
      <c r="L187" s="35"/>
      <c r="M187" s="35"/>
      <c r="N187"/>
      <c r="O187" s="29"/>
      <c r="P187" s="29"/>
      <c r="Q187" s="29"/>
      <c r="R187" s="29"/>
      <c r="S187" s="29"/>
      <c r="T187" s="29"/>
      <c r="U187" s="29"/>
      <c r="V187" s="29"/>
      <c r="W187" s="29"/>
    </row>
    <row r="188" spans="1:23" s="27" customFormat="1" thickBot="1" x14ac:dyDescent="0.25">
      <c r="A188" s="41"/>
      <c r="B188" s="41"/>
      <c r="C188" s="42"/>
      <c r="D188" s="42"/>
      <c r="E188" s="42"/>
      <c r="F188" s="42"/>
      <c r="G188" s="35"/>
      <c r="H188" s="35"/>
      <c r="I188" s="42"/>
      <c r="J188" s="35"/>
      <c r="K188" s="47"/>
      <c r="L188" s="35"/>
      <c r="M188" s="35"/>
      <c r="N188"/>
      <c r="O188" s="29"/>
      <c r="P188" s="28"/>
    </row>
    <row r="189" spans="1:23" s="27" customFormat="1" thickBot="1" x14ac:dyDescent="0.25">
      <c r="A189" s="41"/>
      <c r="B189" s="41"/>
      <c r="C189" s="42"/>
      <c r="D189" s="42"/>
      <c r="E189" s="42"/>
      <c r="F189" s="42"/>
      <c r="G189" s="35"/>
      <c r="H189" s="35"/>
      <c r="I189" s="42"/>
      <c r="J189" s="35"/>
      <c r="K189" s="47"/>
      <c r="L189" s="35"/>
      <c r="M189" s="35"/>
      <c r="N189"/>
      <c r="O189" s="29"/>
      <c r="P189" s="35"/>
      <c r="Q189" s="29"/>
      <c r="R189" s="29"/>
      <c r="S189" s="29"/>
      <c r="T189" s="29"/>
      <c r="U189" s="29"/>
      <c r="V189" s="29"/>
      <c r="W189" s="29"/>
    </row>
    <row r="190" spans="1:23" s="27" customFormat="1" thickBot="1" x14ac:dyDescent="0.25">
      <c r="A190" s="41"/>
      <c r="B190" s="41"/>
      <c r="C190" s="42"/>
      <c r="D190" s="42"/>
      <c r="E190" s="42"/>
      <c r="F190" s="42"/>
      <c r="G190" s="35"/>
      <c r="H190" s="35"/>
      <c r="I190" s="42"/>
      <c r="J190" s="35"/>
      <c r="K190" s="47"/>
      <c r="L190" s="35"/>
      <c r="M190" s="35"/>
      <c r="N190"/>
      <c r="O190" s="29"/>
      <c r="P190" s="29"/>
      <c r="Q190" s="29"/>
      <c r="R190" s="29"/>
      <c r="S190" s="29"/>
      <c r="T190" s="29"/>
      <c r="U190" s="29"/>
      <c r="V190" s="29"/>
      <c r="W190" s="29"/>
    </row>
    <row r="191" spans="1:23" s="27" customFormat="1" thickBot="1" x14ac:dyDescent="0.25">
      <c r="A191" s="41"/>
      <c r="B191" s="41"/>
      <c r="C191" s="42"/>
      <c r="D191" s="42"/>
      <c r="E191" s="42"/>
      <c r="F191" s="42"/>
      <c r="G191" s="35"/>
      <c r="H191" s="35"/>
      <c r="I191" s="42"/>
      <c r="J191" s="35"/>
      <c r="K191" s="47"/>
      <c r="L191" s="35"/>
      <c r="M191" s="35"/>
      <c r="N191"/>
      <c r="O191" s="35"/>
      <c r="P191" s="28"/>
      <c r="Q191" s="29"/>
      <c r="R191" s="29"/>
      <c r="S191" s="29"/>
      <c r="T191" s="29"/>
      <c r="U191" s="29"/>
      <c r="V191" s="29"/>
      <c r="W191" s="29"/>
    </row>
    <row r="192" spans="1:23" s="27" customFormat="1" thickBot="1" x14ac:dyDescent="0.25">
      <c r="A192" s="41"/>
      <c r="B192" s="41"/>
      <c r="C192" s="42"/>
      <c r="D192" s="42"/>
      <c r="E192" s="42"/>
      <c r="F192" s="42"/>
      <c r="G192" s="35"/>
      <c r="H192" s="35"/>
      <c r="I192" s="42"/>
      <c r="J192" s="35"/>
      <c r="K192" s="47"/>
      <c r="L192" s="35"/>
      <c r="M192" s="35"/>
      <c r="N192"/>
      <c r="P192" s="35"/>
      <c r="Q192" s="29"/>
      <c r="R192" s="29"/>
      <c r="S192" s="29"/>
      <c r="T192" s="29"/>
      <c r="U192" s="29"/>
      <c r="V192" s="29"/>
      <c r="W192" s="29"/>
    </row>
    <row r="193" spans="1:23" s="27" customFormat="1" thickBot="1" x14ac:dyDescent="0.25">
      <c r="A193" s="41"/>
      <c r="B193" s="41"/>
      <c r="C193" s="42"/>
      <c r="D193" s="42"/>
      <c r="E193" s="42"/>
      <c r="F193" s="42"/>
      <c r="G193" s="35"/>
      <c r="H193" s="35"/>
      <c r="I193" s="42"/>
      <c r="J193" s="35"/>
      <c r="K193" s="47"/>
      <c r="L193" s="35"/>
      <c r="M193" s="35"/>
      <c r="N193"/>
      <c r="O193" s="35"/>
      <c r="Q193" s="29"/>
      <c r="R193" s="29"/>
      <c r="S193" s="29"/>
      <c r="T193" s="29"/>
      <c r="U193" s="29"/>
      <c r="V193" s="29"/>
      <c r="W193" s="29"/>
    </row>
    <row r="194" spans="1:23" s="27" customFormat="1" thickBot="1" x14ac:dyDescent="0.25">
      <c r="A194" s="41"/>
      <c r="B194" s="41"/>
      <c r="C194" s="42"/>
      <c r="D194" s="42"/>
      <c r="E194" s="42"/>
      <c r="F194" s="42"/>
      <c r="G194" s="35"/>
      <c r="H194" s="35"/>
      <c r="I194" s="42"/>
      <c r="J194" s="35"/>
      <c r="K194" s="47"/>
      <c r="L194" s="35"/>
      <c r="M194" s="35"/>
      <c r="N194"/>
      <c r="O194" s="29"/>
      <c r="P194" s="29"/>
      <c r="Q194" s="28"/>
      <c r="R194" s="28"/>
      <c r="S194" s="28"/>
      <c r="T194" s="28"/>
      <c r="U194" s="28"/>
      <c r="V194" s="28"/>
      <c r="W194" s="28"/>
    </row>
    <row r="195" spans="1:23" s="27" customFormat="1" thickBot="1" x14ac:dyDescent="0.25">
      <c r="A195" s="41"/>
      <c r="B195" s="41"/>
      <c r="C195" s="42"/>
      <c r="D195" s="42"/>
      <c r="E195" s="42"/>
      <c r="F195" s="42"/>
      <c r="G195" s="35"/>
      <c r="H195" s="35"/>
      <c r="I195" s="42"/>
      <c r="J195" s="35"/>
      <c r="K195" s="47"/>
      <c r="L195" s="35"/>
      <c r="M195" s="35"/>
      <c r="N195"/>
      <c r="O195" s="29"/>
      <c r="P195" s="35"/>
      <c r="Q195" s="29"/>
      <c r="R195" s="29"/>
      <c r="S195" s="29"/>
      <c r="T195" s="29"/>
      <c r="U195" s="29"/>
      <c r="V195" s="29"/>
      <c r="W195" s="29"/>
    </row>
    <row r="196" spans="1:23" s="27" customFormat="1" thickBot="1" x14ac:dyDescent="0.25">
      <c r="A196" s="41"/>
      <c r="B196" s="41"/>
      <c r="C196" s="42"/>
      <c r="D196" s="42"/>
      <c r="E196" s="42"/>
      <c r="F196" s="42"/>
      <c r="G196" s="35"/>
      <c r="H196" s="35"/>
      <c r="I196" s="42"/>
      <c r="J196" s="35"/>
      <c r="K196" s="47"/>
      <c r="L196" s="35"/>
      <c r="M196" s="35"/>
      <c r="N196"/>
      <c r="O196" s="29"/>
      <c r="Q196" s="35"/>
      <c r="R196" s="35"/>
      <c r="S196" s="35"/>
      <c r="T196" s="35"/>
      <c r="U196" s="35"/>
      <c r="V196" s="35"/>
      <c r="W196" s="35"/>
    </row>
    <row r="197" spans="1:23" s="28" customFormat="1" thickBot="1" x14ac:dyDescent="0.25">
      <c r="A197" s="41"/>
      <c r="B197" s="41"/>
      <c r="C197" s="42"/>
      <c r="D197" s="42"/>
      <c r="E197" s="42"/>
      <c r="F197" s="42"/>
      <c r="G197" s="35"/>
      <c r="H197" s="35"/>
      <c r="I197" s="42"/>
      <c r="J197" s="35"/>
      <c r="K197" s="47"/>
      <c r="L197" s="35"/>
      <c r="M197" s="35"/>
      <c r="N197"/>
      <c r="O197" s="29"/>
      <c r="P197" s="29"/>
      <c r="Q197" s="29"/>
      <c r="R197" s="29"/>
      <c r="S197" s="29"/>
      <c r="T197" s="29"/>
      <c r="U197" s="29"/>
      <c r="V197" s="29"/>
      <c r="W197" s="29"/>
    </row>
    <row r="198" spans="1:23" s="28" customFormat="1" thickBot="1" x14ac:dyDescent="0.25">
      <c r="A198" s="41"/>
      <c r="B198" s="41"/>
      <c r="C198" s="42"/>
      <c r="D198" s="42"/>
      <c r="E198" s="42"/>
      <c r="F198" s="42"/>
      <c r="G198" s="35"/>
      <c r="H198" s="35"/>
      <c r="I198" s="42"/>
      <c r="J198" s="35"/>
      <c r="K198" s="47"/>
      <c r="L198" s="35"/>
      <c r="M198" s="35"/>
      <c r="N198"/>
      <c r="O198" s="35"/>
      <c r="P198" s="29"/>
      <c r="Q198" s="27"/>
      <c r="R198" s="27"/>
      <c r="S198" s="27"/>
      <c r="T198" s="27"/>
      <c r="U198" s="27"/>
      <c r="V198" s="27"/>
      <c r="W198" s="27"/>
    </row>
    <row r="199" spans="1:23" s="28" customFormat="1" thickBot="1" x14ac:dyDescent="0.25">
      <c r="A199" s="41"/>
      <c r="B199" s="41"/>
      <c r="C199" s="42"/>
      <c r="D199" s="42"/>
      <c r="E199" s="42"/>
      <c r="F199" s="42"/>
      <c r="G199" s="35"/>
      <c r="H199" s="35"/>
      <c r="I199" s="42"/>
      <c r="J199" s="35"/>
      <c r="K199" s="47"/>
      <c r="L199" s="35"/>
      <c r="M199" s="35"/>
      <c r="N199"/>
      <c r="P199" s="29"/>
      <c r="Q199" s="29"/>
      <c r="R199" s="29"/>
      <c r="S199" s="29"/>
      <c r="T199" s="29"/>
      <c r="U199" s="29"/>
      <c r="V199" s="29"/>
      <c r="W199" s="29"/>
    </row>
    <row r="200" spans="1:23" s="28" customFormat="1" thickBot="1" x14ac:dyDescent="0.25">
      <c r="A200" s="41"/>
      <c r="B200" s="41"/>
      <c r="C200" s="42"/>
      <c r="D200" s="42"/>
      <c r="E200" s="42"/>
      <c r="F200" s="42"/>
      <c r="G200" s="35"/>
      <c r="H200" s="35"/>
      <c r="I200" s="42"/>
      <c r="J200" s="35"/>
      <c r="K200" s="47"/>
      <c r="L200" s="35"/>
      <c r="M200" s="35"/>
      <c r="N200"/>
      <c r="O200" s="35"/>
      <c r="P200" s="35"/>
      <c r="Q200" s="29"/>
      <c r="R200" s="29"/>
      <c r="S200" s="29"/>
      <c r="T200" s="29"/>
      <c r="U200" s="29"/>
      <c r="V200" s="29"/>
      <c r="W200" s="29"/>
    </row>
    <row r="201" spans="1:23" s="28" customFormat="1" thickBot="1" x14ac:dyDescent="0.25">
      <c r="A201" s="41"/>
      <c r="B201" s="41"/>
      <c r="C201" s="42"/>
      <c r="D201" s="42"/>
      <c r="E201" s="42"/>
      <c r="F201" s="42"/>
      <c r="G201" s="35"/>
      <c r="H201" s="35"/>
      <c r="I201" s="42"/>
      <c r="J201" s="35"/>
      <c r="K201" s="47"/>
      <c r="L201" s="35"/>
      <c r="M201" s="35"/>
      <c r="N201"/>
      <c r="O201" s="35"/>
      <c r="P201" s="27"/>
      <c r="Q201" s="35"/>
      <c r="R201" s="35"/>
      <c r="S201" s="35"/>
      <c r="T201" s="35"/>
      <c r="U201" s="35"/>
      <c r="V201" s="35"/>
      <c r="W201" s="35"/>
    </row>
    <row r="202" spans="1:23" s="28" customFormat="1" thickBot="1" x14ac:dyDescent="0.25">
      <c r="A202" s="41"/>
      <c r="B202" s="41"/>
      <c r="C202" s="42"/>
      <c r="D202" s="42"/>
      <c r="E202" s="42"/>
      <c r="F202" s="42"/>
      <c r="G202" s="35"/>
      <c r="H202" s="35"/>
      <c r="I202" s="42"/>
      <c r="J202" s="35"/>
      <c r="K202" s="47"/>
      <c r="L202" s="35"/>
      <c r="M202" s="35"/>
      <c r="N202"/>
      <c r="O202" s="35"/>
      <c r="P202" s="29"/>
      <c r="Q202" s="35"/>
      <c r="R202" s="35"/>
      <c r="S202" s="35"/>
      <c r="T202" s="35"/>
      <c r="U202" s="35"/>
      <c r="V202" s="35"/>
      <c r="W202" s="35"/>
    </row>
    <row r="203" spans="1:23" s="28" customFormat="1" thickBot="1" x14ac:dyDescent="0.25">
      <c r="A203" s="41"/>
      <c r="B203" s="41"/>
      <c r="C203" s="42"/>
      <c r="D203" s="42"/>
      <c r="E203" s="42"/>
      <c r="F203" s="42"/>
      <c r="G203" s="35"/>
      <c r="H203" s="35"/>
      <c r="I203" s="42"/>
      <c r="J203" s="35"/>
      <c r="K203" s="47"/>
      <c r="L203" s="35"/>
      <c r="M203" s="35"/>
      <c r="N203"/>
      <c r="O203" s="35"/>
      <c r="P203" s="35"/>
      <c r="Q203" s="27"/>
      <c r="R203" s="27"/>
      <c r="S203" s="27"/>
      <c r="T203" s="27"/>
      <c r="U203" s="27"/>
      <c r="V203" s="27"/>
      <c r="W203" s="27"/>
    </row>
    <row r="204" spans="1:23" s="28" customFormat="1" thickBot="1" x14ac:dyDescent="0.25">
      <c r="A204" s="41"/>
      <c r="B204" s="41"/>
      <c r="C204" s="42"/>
      <c r="D204" s="42"/>
      <c r="E204" s="42"/>
      <c r="F204" s="42"/>
      <c r="G204" s="35"/>
      <c r="H204" s="35"/>
      <c r="I204" s="42"/>
      <c r="J204" s="35"/>
      <c r="K204" s="47"/>
      <c r="L204" s="35"/>
      <c r="M204" s="35"/>
      <c r="N204"/>
      <c r="O204" s="35"/>
      <c r="P204" s="35"/>
      <c r="Q204" s="29"/>
      <c r="R204" s="29"/>
      <c r="S204" s="29"/>
      <c r="T204" s="29"/>
      <c r="U204" s="29"/>
      <c r="V204" s="29"/>
      <c r="W204" s="29"/>
    </row>
    <row r="205" spans="1:23" s="28" customFormat="1" thickBot="1" x14ac:dyDescent="0.25">
      <c r="A205" s="41"/>
      <c r="B205" s="41"/>
      <c r="C205" s="42"/>
      <c r="D205" s="42"/>
      <c r="E205" s="42"/>
      <c r="F205" s="42"/>
      <c r="G205" s="35"/>
      <c r="H205" s="35"/>
      <c r="I205" s="42"/>
      <c r="J205" s="35"/>
      <c r="K205" s="47"/>
      <c r="L205" s="35"/>
      <c r="M205" s="35"/>
      <c r="N205"/>
      <c r="O205" s="27"/>
      <c r="P205" s="35"/>
      <c r="Q205" s="27"/>
      <c r="R205" s="27"/>
      <c r="S205" s="27"/>
      <c r="T205" s="27"/>
      <c r="U205" s="27"/>
      <c r="V205" s="27"/>
      <c r="W205" s="27"/>
    </row>
    <row r="206" spans="1:23" s="28" customFormat="1" thickBot="1" x14ac:dyDescent="0.25">
      <c r="A206" s="41"/>
      <c r="B206" s="41"/>
      <c r="C206" s="42"/>
      <c r="D206" s="42"/>
      <c r="E206" s="42"/>
      <c r="F206" s="42"/>
      <c r="G206" s="35"/>
      <c r="H206" s="35"/>
      <c r="I206" s="42"/>
      <c r="J206" s="35"/>
      <c r="K206" s="47"/>
      <c r="L206" s="35"/>
      <c r="M206" s="35"/>
      <c r="N206"/>
      <c r="O206" s="35"/>
      <c r="P206" s="35"/>
      <c r="Q206" s="35"/>
      <c r="R206" s="35"/>
      <c r="S206" s="35"/>
      <c r="T206" s="35"/>
      <c r="U206" s="35"/>
      <c r="V206" s="35"/>
      <c r="W206" s="35"/>
    </row>
    <row r="207" spans="1:23" s="28" customFormat="1" thickBot="1" x14ac:dyDescent="0.25">
      <c r="A207" s="41"/>
      <c r="B207" s="41"/>
      <c r="C207" s="42"/>
      <c r="D207" s="42"/>
      <c r="E207" s="42"/>
      <c r="F207" s="42"/>
      <c r="G207" s="35"/>
      <c r="H207" s="35"/>
      <c r="I207" s="42"/>
      <c r="J207" s="35"/>
      <c r="K207" s="47"/>
      <c r="L207" s="35"/>
      <c r="M207" s="35"/>
      <c r="N207"/>
      <c r="P207" s="35"/>
    </row>
    <row r="208" spans="1:23" s="28" customFormat="1" thickBot="1" x14ac:dyDescent="0.25">
      <c r="A208" s="41"/>
      <c r="B208" s="41"/>
      <c r="C208" s="42"/>
      <c r="D208" s="42"/>
      <c r="E208" s="42"/>
      <c r="F208" s="42"/>
      <c r="G208" s="35"/>
      <c r="H208" s="35"/>
      <c r="I208" s="42"/>
      <c r="J208" s="35"/>
      <c r="K208" s="47"/>
      <c r="L208" s="35"/>
      <c r="M208" s="35"/>
      <c r="N208"/>
      <c r="O208" s="35"/>
      <c r="P208" s="29"/>
      <c r="Q208" s="29"/>
      <c r="R208" s="29"/>
      <c r="S208" s="29"/>
      <c r="T208" s="29"/>
      <c r="U208" s="29"/>
      <c r="V208" s="29"/>
      <c r="W208" s="29"/>
    </row>
    <row r="209" spans="1:23" s="28" customFormat="1" thickBot="1" x14ac:dyDescent="0.25">
      <c r="A209" s="41"/>
      <c r="B209" s="41"/>
      <c r="C209" s="42"/>
      <c r="D209" s="42"/>
      <c r="E209" s="42"/>
      <c r="F209" s="42"/>
      <c r="G209" s="35"/>
      <c r="H209" s="35"/>
      <c r="I209" s="42"/>
      <c r="J209" s="35"/>
      <c r="K209" s="47"/>
      <c r="L209" s="35"/>
      <c r="M209" s="35"/>
      <c r="N209"/>
      <c r="O209" s="35"/>
      <c r="P209" s="27"/>
      <c r="Q209" s="35"/>
      <c r="R209" s="35"/>
      <c r="S209" s="35"/>
      <c r="T209" s="35"/>
      <c r="U209" s="35"/>
      <c r="V209" s="35"/>
      <c r="W209" s="35"/>
    </row>
    <row r="210" spans="1:23" s="28" customFormat="1" thickBot="1" x14ac:dyDescent="0.25">
      <c r="A210" s="41"/>
      <c r="B210" s="41"/>
      <c r="C210" s="42"/>
      <c r="D210" s="42"/>
      <c r="E210" s="42"/>
      <c r="F210" s="42"/>
      <c r="G210" s="35"/>
      <c r="H210" s="35"/>
      <c r="I210" s="42"/>
      <c r="J210" s="35"/>
      <c r="K210" s="47"/>
      <c r="L210" s="35"/>
      <c r="M210" s="35"/>
      <c r="N210"/>
      <c r="O210" s="35"/>
      <c r="P210" s="35"/>
      <c r="Q210" s="29"/>
      <c r="R210" s="29"/>
      <c r="S210" s="29"/>
      <c r="T210" s="29"/>
      <c r="U210" s="29"/>
      <c r="V210" s="29"/>
      <c r="W210" s="29"/>
    </row>
    <row r="211" spans="1:23" s="28" customFormat="1" thickBot="1" x14ac:dyDescent="0.25">
      <c r="A211" s="41"/>
      <c r="B211" s="41"/>
      <c r="C211" s="42"/>
      <c r="D211" s="42"/>
      <c r="E211" s="42"/>
      <c r="F211" s="42"/>
      <c r="G211" s="35"/>
      <c r="H211" s="35"/>
      <c r="I211" s="42"/>
      <c r="J211" s="35"/>
      <c r="K211" s="47"/>
      <c r="L211" s="35"/>
      <c r="M211" s="35"/>
      <c r="N211"/>
      <c r="O211" s="35"/>
      <c r="P211" s="35"/>
      <c r="Q211" s="27"/>
      <c r="R211" s="27"/>
      <c r="S211" s="27"/>
      <c r="T211" s="27"/>
      <c r="U211" s="27"/>
      <c r="V211" s="27"/>
      <c r="W211" s="27"/>
    </row>
    <row r="212" spans="1:23" s="28" customFormat="1" thickBot="1" x14ac:dyDescent="0.25">
      <c r="A212" s="41"/>
      <c r="B212" s="41"/>
      <c r="C212" s="42"/>
      <c r="D212" s="42"/>
      <c r="E212" s="42"/>
      <c r="F212" s="42"/>
      <c r="G212" s="35"/>
      <c r="H212" s="35"/>
      <c r="I212" s="42"/>
      <c r="J212" s="35"/>
      <c r="K212" s="47"/>
      <c r="L212" s="35"/>
      <c r="M212" s="35"/>
      <c r="N212"/>
      <c r="O212" s="35"/>
      <c r="P212" s="35"/>
      <c r="Q212" s="35"/>
      <c r="R212" s="35"/>
      <c r="S212" s="35"/>
      <c r="T212" s="35"/>
      <c r="U212" s="35"/>
      <c r="V212" s="35"/>
      <c r="W212" s="35"/>
    </row>
    <row r="213" spans="1:23" s="28" customFormat="1" thickBot="1" x14ac:dyDescent="0.25">
      <c r="A213" s="41"/>
      <c r="B213" s="41"/>
      <c r="C213" s="42"/>
      <c r="D213" s="42"/>
      <c r="E213" s="42"/>
      <c r="F213" s="42"/>
      <c r="G213" s="35"/>
      <c r="H213" s="35"/>
      <c r="I213" s="42"/>
      <c r="J213" s="35"/>
      <c r="K213" s="47"/>
      <c r="L213" s="35"/>
      <c r="M213" s="35"/>
      <c r="N213"/>
      <c r="O213" s="29"/>
      <c r="P213" s="29"/>
      <c r="Q213" s="35"/>
      <c r="R213" s="35"/>
      <c r="S213" s="35"/>
      <c r="T213" s="35"/>
      <c r="U213" s="35"/>
      <c r="V213" s="35"/>
      <c r="W213" s="35"/>
    </row>
    <row r="214" spans="1:23" s="28" customFormat="1" thickBot="1" x14ac:dyDescent="0.25">
      <c r="A214" s="41"/>
      <c r="B214" s="41"/>
      <c r="C214" s="42"/>
      <c r="D214" s="42"/>
      <c r="E214" s="42"/>
      <c r="F214" s="42"/>
      <c r="G214" s="35"/>
      <c r="H214" s="35"/>
      <c r="I214" s="42"/>
      <c r="J214" s="35"/>
      <c r="K214" s="47"/>
      <c r="L214" s="35"/>
      <c r="M214" s="35"/>
      <c r="N214"/>
      <c r="O214" s="35"/>
      <c r="P214" s="29"/>
      <c r="Q214" s="35"/>
      <c r="R214" s="35"/>
      <c r="S214" s="35"/>
      <c r="T214" s="35"/>
      <c r="U214" s="35"/>
      <c r="V214" s="35"/>
      <c r="W214" s="35"/>
    </row>
    <row r="215" spans="1:23" s="28" customFormat="1" thickBot="1" x14ac:dyDescent="0.25">
      <c r="A215" s="41"/>
      <c r="B215" s="41"/>
      <c r="C215" s="42"/>
      <c r="D215" s="42"/>
      <c r="E215" s="42"/>
      <c r="F215" s="42"/>
      <c r="G215" s="35"/>
      <c r="H215" s="35"/>
      <c r="I215" s="42"/>
      <c r="J215" s="35"/>
      <c r="K215" s="47"/>
      <c r="L215" s="35"/>
      <c r="M215" s="35"/>
      <c r="N215"/>
      <c r="O215" s="29"/>
      <c r="P215" s="29"/>
      <c r="Q215" s="29"/>
      <c r="R215" s="29"/>
      <c r="S215" s="29"/>
      <c r="T215" s="29"/>
      <c r="U215" s="29"/>
      <c r="V215" s="29"/>
      <c r="W215" s="29"/>
    </row>
    <row r="216" spans="1:23" s="28" customFormat="1" thickBot="1" x14ac:dyDescent="0.25">
      <c r="A216" s="41"/>
      <c r="B216" s="41"/>
      <c r="C216" s="42"/>
      <c r="D216" s="42"/>
      <c r="E216" s="42"/>
      <c r="F216" s="42"/>
      <c r="G216" s="35"/>
      <c r="H216" s="35"/>
      <c r="I216" s="42"/>
      <c r="J216" s="35"/>
      <c r="K216" s="47"/>
      <c r="L216" s="35"/>
      <c r="M216" s="35"/>
      <c r="N216"/>
      <c r="O216" s="35"/>
      <c r="P216" s="29"/>
      <c r="Q216" s="29"/>
      <c r="R216" s="29"/>
      <c r="S216" s="29"/>
      <c r="T216" s="29"/>
      <c r="U216" s="29"/>
      <c r="V216" s="29"/>
      <c r="W216" s="29"/>
    </row>
    <row r="217" spans="1:23" s="28" customFormat="1" thickBot="1" x14ac:dyDescent="0.25">
      <c r="A217" s="41"/>
      <c r="B217" s="41"/>
      <c r="C217" s="42"/>
      <c r="D217" s="42"/>
      <c r="E217" s="42"/>
      <c r="F217" s="42"/>
      <c r="G217" s="35"/>
      <c r="H217" s="35"/>
      <c r="I217" s="42"/>
      <c r="J217" s="35"/>
      <c r="K217" s="47"/>
      <c r="L217" s="35"/>
      <c r="M217" s="35"/>
      <c r="N217"/>
      <c r="O217" s="27"/>
      <c r="P217" s="29"/>
      <c r="Q217" s="29"/>
      <c r="R217" s="29"/>
      <c r="S217" s="29"/>
      <c r="T217" s="29"/>
      <c r="U217" s="29"/>
      <c r="V217" s="29"/>
      <c r="W217" s="29"/>
    </row>
    <row r="218" spans="1:23" thickBot="1" x14ac:dyDescent="0.25">
      <c r="A218" s="41"/>
      <c r="B218" s="41"/>
      <c r="C218" s="42"/>
      <c r="D218" s="42"/>
      <c r="E218" s="42"/>
      <c r="F218" s="42"/>
      <c r="G218" s="35"/>
      <c r="H218" s="35"/>
      <c r="I218" s="42"/>
      <c r="J218" s="35"/>
      <c r="K218" s="47"/>
      <c r="L218" s="35"/>
      <c r="M218" s="35"/>
      <c r="N218"/>
      <c r="O218" s="35"/>
    </row>
    <row r="219" spans="1:23" thickBot="1" x14ac:dyDescent="0.25">
      <c r="A219" s="41"/>
      <c r="B219" s="41"/>
      <c r="C219" s="42"/>
      <c r="D219" s="42"/>
      <c r="E219" s="42"/>
      <c r="F219" s="42"/>
      <c r="G219" s="35"/>
      <c r="H219" s="35"/>
      <c r="I219" s="42"/>
      <c r="J219" s="35"/>
      <c r="K219" s="47"/>
      <c r="L219" s="35"/>
      <c r="M219" s="35"/>
      <c r="N219"/>
      <c r="O219" s="35"/>
    </row>
    <row r="220" spans="1:23" thickBot="1" x14ac:dyDescent="0.25">
      <c r="A220" s="41"/>
      <c r="B220" s="41"/>
      <c r="C220" s="42"/>
      <c r="D220" s="42"/>
      <c r="E220" s="42"/>
      <c r="F220" s="42"/>
      <c r="G220" s="35"/>
      <c r="H220" s="35"/>
      <c r="I220" s="42"/>
      <c r="J220" s="35"/>
      <c r="K220" s="47"/>
      <c r="L220" s="35"/>
      <c r="M220" s="35"/>
      <c r="N220"/>
    </row>
    <row r="221" spans="1:23" thickBot="1" x14ac:dyDescent="0.25">
      <c r="A221" s="41"/>
      <c r="B221" s="41"/>
      <c r="C221" s="42"/>
      <c r="D221" s="42"/>
      <c r="E221" s="42"/>
      <c r="F221" s="42"/>
      <c r="G221" s="35"/>
      <c r="H221" s="35"/>
      <c r="I221" s="42"/>
      <c r="J221" s="35"/>
      <c r="K221" s="47"/>
      <c r="L221" s="35"/>
      <c r="M221" s="35"/>
      <c r="N221"/>
    </row>
    <row r="222" spans="1:23" thickBot="1" x14ac:dyDescent="0.25">
      <c r="A222" s="41"/>
      <c r="B222" s="41"/>
      <c r="C222" s="42"/>
      <c r="D222" s="42"/>
      <c r="E222" s="42"/>
      <c r="F222" s="42"/>
      <c r="G222" s="35"/>
      <c r="H222" s="35"/>
      <c r="I222" s="42"/>
      <c r="J222" s="35"/>
      <c r="K222" s="47"/>
      <c r="L222" s="35"/>
      <c r="M222" s="35"/>
      <c r="N222"/>
      <c r="P222" s="35"/>
    </row>
    <row r="223" spans="1:23" thickBot="1" x14ac:dyDescent="0.25">
      <c r="A223" s="41"/>
      <c r="B223" s="41"/>
      <c r="C223" s="42"/>
      <c r="D223" s="42"/>
      <c r="E223" s="42"/>
      <c r="F223" s="42"/>
      <c r="G223" s="35"/>
      <c r="H223" s="35"/>
      <c r="I223" s="42"/>
      <c r="J223" s="35"/>
      <c r="K223" s="47"/>
      <c r="L223" s="35"/>
      <c r="M223" s="35"/>
      <c r="N223"/>
      <c r="O223" s="35"/>
      <c r="P223" s="35"/>
    </row>
    <row r="224" spans="1:23" thickBot="1" x14ac:dyDescent="0.25">
      <c r="A224" s="41"/>
      <c r="B224" s="41"/>
      <c r="C224" s="42"/>
      <c r="D224" s="42"/>
      <c r="E224" s="42"/>
      <c r="F224" s="42"/>
      <c r="G224" s="35"/>
      <c r="H224" s="35"/>
      <c r="I224" s="42"/>
      <c r="J224" s="35"/>
      <c r="K224" s="47"/>
      <c r="L224" s="35"/>
      <c r="M224" s="35"/>
      <c r="N224"/>
      <c r="O224" s="35"/>
      <c r="Q224" s="35"/>
      <c r="R224" s="35"/>
      <c r="S224" s="35"/>
      <c r="T224" s="35"/>
      <c r="U224" s="35"/>
      <c r="V224" s="35"/>
      <c r="W224" s="35"/>
    </row>
    <row r="225" spans="1:23" thickBot="1" x14ac:dyDescent="0.25">
      <c r="A225" s="41"/>
      <c r="B225" s="41"/>
      <c r="C225" s="42"/>
      <c r="D225" s="42"/>
      <c r="E225" s="42"/>
      <c r="F225" s="42"/>
      <c r="G225" s="35"/>
      <c r="H225" s="35"/>
      <c r="I225" s="42"/>
      <c r="J225" s="35"/>
      <c r="K225" s="47"/>
      <c r="L225" s="35"/>
      <c r="M225" s="35"/>
      <c r="N225"/>
      <c r="O225" s="27"/>
      <c r="Q225" s="35"/>
      <c r="R225" s="35"/>
      <c r="S225" s="35"/>
      <c r="T225" s="35"/>
      <c r="U225" s="35"/>
      <c r="V225" s="35"/>
      <c r="W225" s="35"/>
    </row>
    <row r="226" spans="1:23" thickBot="1" x14ac:dyDescent="0.25">
      <c r="A226" s="41"/>
      <c r="B226" s="41"/>
      <c r="C226" s="42"/>
      <c r="D226" s="42"/>
      <c r="E226" s="42"/>
      <c r="F226" s="42"/>
      <c r="G226" s="35"/>
      <c r="H226" s="35"/>
      <c r="I226" s="42"/>
      <c r="J226" s="35"/>
      <c r="K226" s="47"/>
      <c r="L226" s="35"/>
      <c r="M226" s="35"/>
      <c r="N226"/>
      <c r="O226" s="35"/>
    </row>
    <row r="227" spans="1:23" thickBot="1" x14ac:dyDescent="0.25">
      <c r="A227" s="41"/>
      <c r="B227" s="41"/>
      <c r="C227" s="42"/>
      <c r="D227" s="42"/>
      <c r="E227" s="42"/>
      <c r="F227" s="42"/>
      <c r="G227" s="35"/>
      <c r="H227" s="35"/>
      <c r="I227" s="42"/>
      <c r="J227" s="35"/>
      <c r="K227" s="47"/>
      <c r="L227" s="35"/>
      <c r="M227" s="35"/>
      <c r="N227"/>
      <c r="O227" s="35"/>
    </row>
    <row r="228" spans="1:23" thickBot="1" x14ac:dyDescent="0.25">
      <c r="A228" s="41"/>
      <c r="B228" s="41"/>
      <c r="C228" s="42"/>
      <c r="D228" s="42"/>
      <c r="E228" s="42"/>
      <c r="F228" s="42"/>
      <c r="G228" s="35"/>
      <c r="H228" s="35"/>
      <c r="I228" s="42"/>
      <c r="J228" s="35"/>
      <c r="K228" s="47"/>
      <c r="L228" s="35"/>
      <c r="M228" s="35"/>
      <c r="N228"/>
      <c r="O228" s="35"/>
    </row>
    <row r="229" spans="1:23" thickBot="1" x14ac:dyDescent="0.25">
      <c r="A229" s="41"/>
      <c r="B229" s="41"/>
      <c r="C229" s="42"/>
      <c r="D229" s="42"/>
      <c r="E229" s="42"/>
      <c r="F229" s="42"/>
      <c r="G229" s="35"/>
      <c r="H229" s="35"/>
      <c r="I229" s="42"/>
      <c r="J229" s="35"/>
      <c r="K229" s="47"/>
      <c r="L229" s="35"/>
      <c r="M229" s="35"/>
      <c r="N229"/>
      <c r="P229" s="28"/>
    </row>
    <row r="230" spans="1:23" thickBot="1" x14ac:dyDescent="0.25">
      <c r="A230" s="41"/>
      <c r="B230" s="41"/>
      <c r="C230" s="42"/>
      <c r="D230" s="42"/>
      <c r="E230" s="42"/>
      <c r="F230" s="42"/>
      <c r="G230" s="35"/>
      <c r="H230" s="35"/>
      <c r="I230" s="42"/>
      <c r="J230" s="35"/>
      <c r="K230" s="47"/>
      <c r="L230" s="35"/>
      <c r="M230" s="35"/>
      <c r="N230"/>
      <c r="O230" s="35"/>
      <c r="P230" s="27"/>
    </row>
    <row r="231" spans="1:23" thickBot="1" x14ac:dyDescent="0.25">
      <c r="A231" s="41"/>
      <c r="B231" s="41"/>
      <c r="C231" s="42"/>
      <c r="D231" s="42"/>
      <c r="E231" s="42"/>
      <c r="F231" s="42"/>
      <c r="G231" s="35"/>
      <c r="H231" s="35"/>
      <c r="I231" s="42"/>
      <c r="J231" s="35"/>
      <c r="K231" s="47"/>
      <c r="L231" s="35"/>
      <c r="M231" s="35"/>
      <c r="N231"/>
      <c r="O231" s="27"/>
      <c r="P231" s="27"/>
      <c r="Q231" s="28"/>
      <c r="R231" s="28"/>
      <c r="S231" s="28"/>
      <c r="T231" s="28"/>
      <c r="U231" s="28"/>
      <c r="V231" s="28"/>
      <c r="W231" s="28"/>
    </row>
    <row r="232" spans="1:23" thickBot="1" x14ac:dyDescent="0.25">
      <c r="A232" s="41"/>
      <c r="B232" s="41"/>
      <c r="C232" s="42"/>
      <c r="D232" s="42"/>
      <c r="E232" s="42"/>
      <c r="F232" s="42"/>
      <c r="G232" s="35"/>
      <c r="H232" s="35"/>
      <c r="I232" s="42"/>
      <c r="J232" s="35"/>
      <c r="K232" s="47"/>
      <c r="L232" s="35"/>
      <c r="M232" s="35"/>
      <c r="N232"/>
      <c r="O232" s="27"/>
      <c r="P232" s="35"/>
      <c r="Q232" s="27"/>
      <c r="R232" s="27"/>
      <c r="S232" s="27"/>
      <c r="T232" s="27"/>
      <c r="U232" s="27"/>
      <c r="V232" s="27"/>
      <c r="W232" s="27"/>
    </row>
    <row r="233" spans="1:23" thickBot="1" x14ac:dyDescent="0.25">
      <c r="A233" s="41"/>
      <c r="B233" s="41"/>
      <c r="C233" s="42"/>
      <c r="D233" s="42"/>
      <c r="E233" s="42"/>
      <c r="F233" s="42"/>
      <c r="G233" s="35"/>
      <c r="H233" s="35"/>
      <c r="I233" s="42"/>
      <c r="J233" s="35"/>
      <c r="K233" s="47"/>
      <c r="L233" s="35"/>
      <c r="M233" s="35"/>
      <c r="N233"/>
      <c r="O233" s="27"/>
      <c r="P233" s="35"/>
      <c r="Q233" s="27"/>
      <c r="R233" s="27"/>
      <c r="S233" s="27"/>
      <c r="T233" s="27"/>
      <c r="U233" s="27"/>
      <c r="V233" s="27"/>
      <c r="W233" s="27"/>
    </row>
    <row r="234" spans="1:23" thickBot="1" x14ac:dyDescent="0.25">
      <c r="A234" s="41"/>
      <c r="B234" s="41"/>
      <c r="C234" s="42"/>
      <c r="D234" s="42"/>
      <c r="E234" s="42"/>
      <c r="F234" s="42"/>
      <c r="G234" s="35"/>
      <c r="H234" s="35"/>
      <c r="I234" s="42"/>
      <c r="J234" s="35"/>
      <c r="K234" s="47"/>
      <c r="L234" s="35"/>
      <c r="M234" s="35"/>
      <c r="N234"/>
      <c r="O234" s="35"/>
      <c r="P234" s="28"/>
      <c r="Q234" s="35"/>
      <c r="R234" s="35"/>
      <c r="S234" s="35"/>
      <c r="T234" s="35"/>
      <c r="U234" s="35"/>
      <c r="V234" s="35"/>
      <c r="W234" s="35"/>
    </row>
    <row r="235" spans="1:23" thickBot="1" x14ac:dyDescent="0.25">
      <c r="A235" s="41"/>
      <c r="B235" s="41"/>
      <c r="C235" s="42"/>
      <c r="D235" s="42"/>
      <c r="E235" s="42"/>
      <c r="F235" s="42"/>
      <c r="G235" s="35"/>
      <c r="H235" s="35"/>
      <c r="I235" s="42"/>
      <c r="J235" s="35"/>
      <c r="K235" s="47"/>
      <c r="L235" s="35"/>
      <c r="M235" s="35"/>
      <c r="N235"/>
      <c r="O235" s="27"/>
      <c r="Q235" s="35"/>
      <c r="R235" s="35"/>
      <c r="S235" s="35"/>
      <c r="T235" s="35"/>
      <c r="U235" s="35"/>
      <c r="V235" s="35"/>
      <c r="W235" s="35"/>
    </row>
    <row r="236" spans="1:23" thickBot="1" x14ac:dyDescent="0.25">
      <c r="A236" s="41"/>
      <c r="B236" s="41"/>
      <c r="C236" s="42"/>
      <c r="D236" s="42"/>
      <c r="E236" s="42"/>
      <c r="F236" s="42"/>
      <c r="G236" s="35"/>
      <c r="H236" s="35"/>
      <c r="I236" s="42"/>
      <c r="J236" s="35"/>
      <c r="K236" s="47"/>
      <c r="L236" s="35"/>
      <c r="M236" s="35"/>
      <c r="N236"/>
      <c r="Q236" s="28"/>
      <c r="R236" s="28"/>
      <c r="S236" s="28"/>
      <c r="T236" s="28"/>
      <c r="U236" s="28"/>
      <c r="V236" s="28"/>
      <c r="W236" s="28"/>
    </row>
    <row r="237" spans="1:23" thickBot="1" x14ac:dyDescent="0.25">
      <c r="A237" s="41"/>
      <c r="B237" s="41"/>
      <c r="C237" s="42"/>
      <c r="D237" s="42"/>
      <c r="E237" s="42"/>
      <c r="F237" s="42"/>
      <c r="G237" s="35"/>
      <c r="H237" s="35"/>
      <c r="I237" s="42"/>
      <c r="J237" s="35"/>
      <c r="K237" s="47"/>
      <c r="L237" s="35"/>
      <c r="M237" s="35"/>
      <c r="N237"/>
      <c r="O237" s="35"/>
      <c r="P237" s="27"/>
    </row>
    <row r="238" spans="1:23" thickBot="1" x14ac:dyDescent="0.25">
      <c r="A238" s="41"/>
      <c r="B238" s="41"/>
      <c r="C238" s="42"/>
      <c r="D238" s="42"/>
      <c r="E238" s="42"/>
      <c r="F238" s="42"/>
      <c r="G238" s="35"/>
      <c r="H238" s="35"/>
      <c r="I238" s="42"/>
      <c r="J238" s="35"/>
      <c r="K238" s="47"/>
      <c r="L238" s="35"/>
      <c r="M238" s="35"/>
      <c r="N238"/>
    </row>
    <row r="239" spans="1:23" thickBot="1" x14ac:dyDescent="0.25">
      <c r="A239" s="41"/>
      <c r="B239" s="41"/>
      <c r="C239" s="42"/>
      <c r="D239" s="42"/>
      <c r="E239" s="42"/>
      <c r="F239" s="42"/>
      <c r="G239" s="35"/>
      <c r="H239" s="35"/>
      <c r="I239" s="42"/>
      <c r="J239" s="35"/>
      <c r="K239" s="35"/>
      <c r="L239" s="35"/>
      <c r="M239" s="35"/>
      <c r="N239"/>
      <c r="Q239" s="27"/>
      <c r="R239" s="27"/>
      <c r="S239" s="27"/>
      <c r="T239" s="27"/>
      <c r="U239" s="27"/>
      <c r="V239" s="27"/>
      <c r="W239" s="27"/>
    </row>
    <row r="240" spans="1:23" thickBot="1" x14ac:dyDescent="0.25">
      <c r="A240" s="41"/>
      <c r="B240" s="41"/>
      <c r="C240" s="42"/>
      <c r="D240" s="42"/>
      <c r="E240" s="42"/>
      <c r="F240" s="42"/>
      <c r="G240" s="35"/>
      <c r="H240" s="35"/>
      <c r="I240" s="42"/>
      <c r="J240" s="35"/>
      <c r="K240" s="35"/>
      <c r="L240" s="35"/>
      <c r="M240" s="35"/>
      <c r="N240"/>
      <c r="O240" s="35"/>
    </row>
    <row r="241" spans="1:23" thickBot="1" x14ac:dyDescent="0.25">
      <c r="A241" s="41"/>
      <c r="B241" s="41"/>
      <c r="C241" s="42"/>
      <c r="D241" s="42"/>
      <c r="E241" s="42"/>
      <c r="F241" s="42"/>
      <c r="G241" s="35"/>
      <c r="H241" s="35"/>
      <c r="I241" s="42"/>
      <c r="J241" s="35"/>
      <c r="K241" s="35"/>
      <c r="L241" s="35"/>
      <c r="M241" s="35"/>
      <c r="N241"/>
      <c r="O241" s="27"/>
      <c r="P241" s="27"/>
    </row>
    <row r="242" spans="1:23" thickBot="1" x14ac:dyDescent="0.25">
      <c r="A242" s="41"/>
      <c r="B242" s="41"/>
      <c r="C242" s="42"/>
      <c r="D242" s="42"/>
      <c r="E242" s="42"/>
      <c r="F242" s="42"/>
      <c r="G242" s="35"/>
      <c r="H242" s="35"/>
      <c r="I242" s="42"/>
      <c r="J242" s="35"/>
      <c r="K242" s="35"/>
      <c r="L242" s="35"/>
      <c r="M242" s="35"/>
      <c r="N242"/>
      <c r="O242" s="28"/>
      <c r="P242" s="35"/>
    </row>
    <row r="243" spans="1:23" thickBot="1" x14ac:dyDescent="0.25">
      <c r="A243" s="41"/>
      <c r="B243" s="41"/>
      <c r="C243" s="42"/>
      <c r="D243" s="42"/>
      <c r="E243" s="42"/>
      <c r="F243" s="42"/>
      <c r="G243" s="35"/>
      <c r="H243" s="35"/>
      <c r="I243" s="42"/>
      <c r="J243" s="35"/>
      <c r="K243" s="35"/>
      <c r="L243" s="35"/>
      <c r="M243" s="35"/>
      <c r="N243"/>
      <c r="O243" s="35"/>
      <c r="Q243" s="27"/>
      <c r="R243" s="27"/>
      <c r="S243" s="27"/>
      <c r="T243" s="27"/>
      <c r="U243" s="27"/>
      <c r="V243" s="27"/>
      <c r="W243" s="27"/>
    </row>
    <row r="244" spans="1:23" thickBot="1" x14ac:dyDescent="0.25">
      <c r="A244" s="41"/>
      <c r="B244" s="41"/>
      <c r="C244" s="42"/>
      <c r="D244" s="42"/>
      <c r="E244" s="42"/>
      <c r="F244" s="42"/>
      <c r="G244" s="35"/>
      <c r="H244" s="35"/>
      <c r="I244" s="42"/>
      <c r="J244" s="35"/>
      <c r="K244" s="35"/>
      <c r="L244" s="35"/>
      <c r="M244" s="35"/>
      <c r="N244"/>
      <c r="O244" s="28"/>
      <c r="Q244" s="35"/>
      <c r="R244" s="35"/>
      <c r="S244" s="35"/>
      <c r="T244" s="35"/>
      <c r="U244" s="35"/>
      <c r="V244" s="35"/>
      <c r="W244" s="35"/>
    </row>
    <row r="245" spans="1:23" thickBot="1" x14ac:dyDescent="0.25">
      <c r="A245" s="41"/>
      <c r="B245" s="41"/>
      <c r="C245" s="42"/>
      <c r="D245" s="42"/>
      <c r="E245" s="42"/>
      <c r="F245" s="42"/>
      <c r="G245" s="35"/>
      <c r="H245" s="35"/>
      <c r="I245" s="42"/>
      <c r="J245" s="35"/>
      <c r="K245" s="35"/>
      <c r="L245" s="35"/>
      <c r="M245" s="35"/>
      <c r="N245"/>
      <c r="O245" s="35"/>
      <c r="P245" s="28"/>
    </row>
    <row r="246" spans="1:23" thickBot="1" x14ac:dyDescent="0.25">
      <c r="A246" s="41"/>
      <c r="B246" s="41"/>
      <c r="C246" s="42"/>
      <c r="D246" s="42"/>
      <c r="E246" s="42"/>
      <c r="F246" s="42"/>
      <c r="G246" s="35"/>
      <c r="H246" s="35"/>
      <c r="I246" s="42"/>
      <c r="J246" s="35"/>
      <c r="K246" s="35"/>
      <c r="L246" s="35"/>
      <c r="M246" s="35"/>
      <c r="N246"/>
      <c r="P246" s="35"/>
    </row>
    <row r="247" spans="1:23" thickBot="1" x14ac:dyDescent="0.25">
      <c r="A247" s="41"/>
      <c r="B247" s="41"/>
      <c r="C247" s="42"/>
      <c r="D247" s="42"/>
      <c r="E247" s="42"/>
      <c r="F247" s="42"/>
      <c r="G247" s="35"/>
      <c r="H247" s="35"/>
      <c r="I247" s="42"/>
      <c r="J247" s="35"/>
      <c r="K247" s="35"/>
      <c r="L247" s="35"/>
      <c r="M247" s="35"/>
      <c r="N247"/>
      <c r="P247" s="35"/>
      <c r="Q247" s="28"/>
      <c r="R247" s="28"/>
      <c r="S247" s="28"/>
      <c r="T247" s="28"/>
      <c r="U247" s="28"/>
      <c r="V247" s="28"/>
      <c r="W247" s="28"/>
    </row>
    <row r="248" spans="1:23" thickBot="1" x14ac:dyDescent="0.25">
      <c r="A248" s="41"/>
      <c r="B248" s="41"/>
      <c r="C248" s="42"/>
      <c r="D248" s="42"/>
      <c r="E248" s="42"/>
      <c r="F248" s="42"/>
      <c r="G248" s="35"/>
      <c r="H248" s="35"/>
      <c r="I248" s="42"/>
      <c r="J248" s="35"/>
      <c r="K248" s="35"/>
      <c r="L248" s="35"/>
      <c r="M248" s="35"/>
      <c r="N248"/>
      <c r="P248" s="35"/>
      <c r="Q248" s="35"/>
      <c r="R248" s="35"/>
      <c r="S248" s="35"/>
      <c r="T248" s="35"/>
      <c r="U248" s="35"/>
      <c r="V248" s="35"/>
      <c r="W248" s="35"/>
    </row>
    <row r="249" spans="1:23" thickBot="1" x14ac:dyDescent="0.25">
      <c r="A249" s="41"/>
      <c r="B249" s="41"/>
      <c r="C249" s="42"/>
      <c r="D249" s="42"/>
      <c r="E249" s="42"/>
      <c r="F249" s="42"/>
      <c r="G249" s="35"/>
      <c r="H249" s="35"/>
      <c r="I249" s="42"/>
      <c r="J249" s="35"/>
      <c r="K249" s="35"/>
      <c r="L249" s="35"/>
      <c r="M249" s="35"/>
      <c r="N249"/>
      <c r="P249" s="35"/>
      <c r="Q249" s="35"/>
      <c r="R249" s="35"/>
      <c r="S249" s="35"/>
      <c r="T249" s="35"/>
      <c r="U249" s="35"/>
      <c r="V249" s="35"/>
      <c r="W249" s="35"/>
    </row>
    <row r="250" spans="1:23" thickBot="1" x14ac:dyDescent="0.25">
      <c r="A250" s="41"/>
      <c r="B250" s="41"/>
      <c r="C250" s="42"/>
      <c r="D250" s="42"/>
      <c r="E250" s="42"/>
      <c r="F250" s="42"/>
      <c r="G250" s="35"/>
      <c r="H250" s="35"/>
      <c r="I250" s="42"/>
      <c r="J250" s="35"/>
      <c r="K250" s="35"/>
      <c r="L250" s="35"/>
      <c r="M250" s="35"/>
      <c r="N250"/>
      <c r="Q250" s="35"/>
      <c r="R250" s="35"/>
      <c r="S250" s="35"/>
      <c r="T250" s="35"/>
      <c r="U250" s="35"/>
      <c r="V250" s="35"/>
      <c r="W250" s="35"/>
    </row>
    <row r="251" spans="1:23" thickBot="1" x14ac:dyDescent="0.25">
      <c r="A251" s="41"/>
      <c r="B251" s="41"/>
      <c r="C251" s="42"/>
      <c r="D251" s="42"/>
      <c r="E251" s="42"/>
      <c r="F251" s="42"/>
      <c r="G251" s="35"/>
      <c r="H251" s="35"/>
      <c r="I251" s="42"/>
      <c r="J251" s="35"/>
      <c r="K251" s="35"/>
      <c r="L251" s="35"/>
      <c r="M251" s="35"/>
      <c r="N251"/>
      <c r="Q251" s="35"/>
      <c r="R251" s="35"/>
      <c r="S251" s="35"/>
      <c r="T251" s="35"/>
      <c r="U251" s="35"/>
      <c r="V251" s="35"/>
      <c r="W251" s="35"/>
    </row>
    <row r="252" spans="1:23" thickBot="1" x14ac:dyDescent="0.25">
      <c r="A252" s="41"/>
      <c r="B252" s="41"/>
      <c r="C252" s="42"/>
      <c r="D252" s="42"/>
      <c r="E252" s="42"/>
      <c r="F252" s="42"/>
      <c r="G252" s="35"/>
      <c r="H252" s="35"/>
      <c r="I252" s="42"/>
      <c r="J252" s="35"/>
      <c r="K252" s="35"/>
      <c r="L252" s="35"/>
      <c r="M252" s="35"/>
      <c r="N252"/>
      <c r="O252" s="35"/>
    </row>
    <row r="253" spans="1:23" thickBot="1" x14ac:dyDescent="0.25">
      <c r="A253" s="41"/>
      <c r="B253" s="41"/>
      <c r="C253" s="42"/>
      <c r="D253" s="42"/>
      <c r="E253" s="42"/>
      <c r="F253" s="42"/>
      <c r="G253" s="35"/>
      <c r="H253" s="35"/>
      <c r="I253" s="42"/>
      <c r="J253" s="35"/>
      <c r="K253" s="35"/>
      <c r="L253" s="35"/>
      <c r="M253" s="35"/>
      <c r="N253"/>
      <c r="O253" s="27"/>
    </row>
    <row r="254" spans="1:23" thickBot="1" x14ac:dyDescent="0.25">
      <c r="A254" s="41"/>
      <c r="B254" s="41"/>
      <c r="C254" s="42"/>
      <c r="D254" s="42"/>
      <c r="E254" s="42"/>
      <c r="F254" s="42"/>
      <c r="G254" s="35"/>
      <c r="H254" s="35"/>
      <c r="I254" s="42"/>
      <c r="J254" s="35"/>
      <c r="K254" s="35"/>
      <c r="L254" s="35"/>
      <c r="M254" s="35"/>
      <c r="N254"/>
      <c r="O254" s="35"/>
      <c r="P254" s="35"/>
    </row>
    <row r="255" spans="1:23" thickBot="1" x14ac:dyDescent="0.25">
      <c r="A255" s="41"/>
      <c r="B255" s="41"/>
      <c r="C255" s="42"/>
      <c r="D255" s="42"/>
      <c r="E255" s="42"/>
      <c r="F255" s="42"/>
      <c r="G255" s="35"/>
      <c r="H255" s="35"/>
      <c r="I255" s="42"/>
      <c r="J255" s="35"/>
      <c r="K255" s="35"/>
      <c r="L255" s="35"/>
      <c r="M255" s="35"/>
      <c r="N255"/>
      <c r="O255" s="35"/>
      <c r="P255" s="35"/>
    </row>
    <row r="256" spans="1:23" thickBot="1" x14ac:dyDescent="0.25">
      <c r="A256" s="41"/>
      <c r="B256" s="41"/>
      <c r="C256" s="42"/>
      <c r="D256" s="42"/>
      <c r="E256" s="42"/>
      <c r="F256" s="42"/>
      <c r="G256" s="35"/>
      <c r="H256" s="35"/>
      <c r="I256" s="42"/>
      <c r="J256" s="35"/>
      <c r="K256" s="35"/>
      <c r="L256" s="35"/>
      <c r="M256" s="35"/>
      <c r="N256"/>
      <c r="O256" s="35"/>
      <c r="P256" s="35"/>
      <c r="Q256" s="35"/>
      <c r="R256" s="35"/>
      <c r="S256" s="35"/>
      <c r="T256" s="35"/>
      <c r="U256" s="35"/>
      <c r="V256" s="35"/>
      <c r="W256" s="35"/>
    </row>
    <row r="257" spans="1:23" thickBot="1" x14ac:dyDescent="0.25">
      <c r="A257" s="41"/>
      <c r="B257" s="41"/>
      <c r="C257" s="42"/>
      <c r="D257" s="42"/>
      <c r="E257" s="42"/>
      <c r="F257" s="42"/>
      <c r="G257" s="35"/>
      <c r="H257" s="35"/>
      <c r="I257" s="42"/>
      <c r="J257" s="35"/>
      <c r="K257" s="35"/>
      <c r="L257" s="35"/>
      <c r="M257" s="35"/>
      <c r="N257"/>
      <c r="O257" s="35"/>
      <c r="Q257" s="35"/>
      <c r="R257" s="35"/>
      <c r="S257" s="35"/>
      <c r="T257" s="35"/>
      <c r="U257" s="35"/>
      <c r="V257" s="35"/>
      <c r="W257" s="35"/>
    </row>
    <row r="258" spans="1:23" thickBot="1" x14ac:dyDescent="0.25">
      <c r="A258" s="41"/>
      <c r="B258" s="41"/>
      <c r="C258" s="42"/>
      <c r="D258" s="42"/>
      <c r="E258" s="42"/>
      <c r="F258" s="42"/>
      <c r="G258" s="35"/>
      <c r="H258" s="35"/>
      <c r="I258" s="42"/>
      <c r="J258" s="35"/>
      <c r="K258" s="35"/>
      <c r="L258" s="35"/>
      <c r="M258" s="35"/>
      <c r="N258"/>
      <c r="O258" s="28"/>
      <c r="Q258" s="35"/>
      <c r="R258" s="35"/>
      <c r="S258" s="35"/>
      <c r="T258" s="35"/>
      <c r="U258" s="35"/>
      <c r="V258" s="35"/>
      <c r="W258" s="35"/>
    </row>
    <row r="259" spans="1:23" thickBot="1" x14ac:dyDescent="0.25">
      <c r="A259" s="41"/>
      <c r="B259" s="41"/>
      <c r="C259" s="49"/>
      <c r="D259" s="49"/>
      <c r="E259" s="49"/>
      <c r="F259" s="37"/>
      <c r="G259" s="43"/>
      <c r="H259" s="43"/>
      <c r="I259" s="49"/>
      <c r="J259" s="43"/>
      <c r="K259" s="43"/>
      <c r="L259" s="43"/>
      <c r="M259" s="43"/>
      <c r="N259" t="s">
        <v>35</v>
      </c>
    </row>
    <row r="260" spans="1:23" thickBot="1" x14ac:dyDescent="0.25">
      <c r="A260" s="41"/>
      <c r="B260" s="41"/>
      <c r="F260" s="37"/>
      <c r="H260" s="29"/>
      <c r="J260" s="29"/>
      <c r="K260" s="29"/>
      <c r="N260" t="s">
        <v>35</v>
      </c>
      <c r="O260" s="27"/>
    </row>
    <row r="261" spans="1:23" thickBot="1" x14ac:dyDescent="0.25">
      <c r="A261" s="41"/>
      <c r="B261" s="41"/>
      <c r="F261" s="37"/>
      <c r="H261" s="29"/>
      <c r="J261" s="29"/>
      <c r="K261" s="29"/>
      <c r="N261" t="s">
        <v>35</v>
      </c>
      <c r="O261" s="35"/>
      <c r="P261" s="35"/>
    </row>
    <row r="262" spans="1:23" thickBot="1" x14ac:dyDescent="0.25">
      <c r="A262" s="41"/>
      <c r="B262" s="41"/>
      <c r="F262" s="37"/>
      <c r="N262" t="s">
        <v>35</v>
      </c>
      <c r="O262" s="35"/>
      <c r="P262" s="28"/>
    </row>
    <row r="263" spans="1:23" thickBot="1" x14ac:dyDescent="0.25">
      <c r="A263" s="41"/>
      <c r="B263" s="41"/>
      <c r="F263" s="37"/>
      <c r="N263" t="s">
        <v>35</v>
      </c>
      <c r="O263" s="35"/>
      <c r="P263" s="27"/>
      <c r="Q263" s="35"/>
      <c r="R263" s="35"/>
      <c r="S263" s="35"/>
      <c r="T263" s="35"/>
      <c r="U263" s="35"/>
      <c r="V263" s="35"/>
      <c r="W263" s="35"/>
    </row>
    <row r="264" spans="1:23" thickBot="1" x14ac:dyDescent="0.25">
      <c r="A264" s="41"/>
      <c r="B264" s="41"/>
      <c r="F264" s="37"/>
      <c r="N264" t="s">
        <v>35</v>
      </c>
      <c r="O264" s="35"/>
      <c r="P264" s="35"/>
      <c r="Q264" s="28"/>
      <c r="R264" s="28"/>
      <c r="S264" s="28"/>
      <c r="T264" s="28"/>
      <c r="U264" s="28"/>
      <c r="V264" s="28"/>
      <c r="W264" s="28"/>
    </row>
    <row r="265" spans="1:23" thickBot="1" x14ac:dyDescent="0.25">
      <c r="A265" s="41"/>
      <c r="B265" s="41"/>
      <c r="F265" s="37"/>
      <c r="N265" t="s">
        <v>35</v>
      </c>
      <c r="P265" s="35"/>
      <c r="Q265" s="27"/>
      <c r="R265" s="27"/>
      <c r="S265" s="27"/>
      <c r="T265" s="27"/>
      <c r="U265" s="27"/>
      <c r="V265" s="27"/>
      <c r="W265" s="27"/>
    </row>
    <row r="266" spans="1:23" thickBot="1" x14ac:dyDescent="0.25">
      <c r="A266" s="41"/>
      <c r="B266" s="41"/>
      <c r="F266" s="37"/>
      <c r="N266" t="s">
        <v>35</v>
      </c>
      <c r="O266" s="35"/>
      <c r="P266" s="35"/>
      <c r="Q266" s="35"/>
      <c r="R266" s="35"/>
      <c r="S266" s="35"/>
      <c r="T266" s="35"/>
      <c r="U266" s="35"/>
      <c r="V266" s="35"/>
      <c r="W266" s="35"/>
    </row>
    <row r="267" spans="1:23" thickBot="1" x14ac:dyDescent="0.25">
      <c r="A267" s="41"/>
      <c r="B267" s="41"/>
      <c r="F267" s="37"/>
      <c r="N267" t="s">
        <v>35</v>
      </c>
      <c r="O267" s="27"/>
      <c r="P267" s="35"/>
      <c r="Q267" s="35"/>
      <c r="R267" s="35"/>
      <c r="S267" s="35"/>
      <c r="T267" s="35"/>
      <c r="U267" s="35"/>
      <c r="V267" s="35"/>
      <c r="W267" s="35"/>
    </row>
    <row r="268" spans="1:23" thickBot="1" x14ac:dyDescent="0.25">
      <c r="A268" s="41"/>
      <c r="B268" s="41"/>
      <c r="F268" s="37"/>
      <c r="N268" t="s">
        <v>35</v>
      </c>
      <c r="O268" s="35"/>
      <c r="P268" s="28"/>
      <c r="Q268" s="35"/>
      <c r="R268" s="35"/>
      <c r="S268" s="35"/>
      <c r="T268" s="35"/>
      <c r="U268" s="35"/>
      <c r="V268" s="35"/>
      <c r="W268" s="35"/>
    </row>
    <row r="269" spans="1:23" thickBot="1" x14ac:dyDescent="0.25">
      <c r="A269" s="43"/>
      <c r="B269" s="43"/>
      <c r="F269" s="37"/>
      <c r="N269" t="s">
        <v>35</v>
      </c>
      <c r="O269" s="28"/>
      <c r="P269" s="27"/>
      <c r="Q269" s="35"/>
      <c r="R269" s="35"/>
      <c r="S269" s="35"/>
      <c r="T269" s="35"/>
      <c r="U269" s="35"/>
      <c r="V269" s="35"/>
      <c r="W269" s="35"/>
    </row>
    <row r="270" spans="1:23" thickBot="1" x14ac:dyDescent="0.25">
      <c r="A270" s="29"/>
      <c r="B270" s="29"/>
      <c r="F270" s="37"/>
      <c r="N270" t="s">
        <v>35</v>
      </c>
      <c r="P270" s="27"/>
      <c r="Q270" s="28"/>
      <c r="R270" s="28"/>
      <c r="S270" s="28"/>
      <c r="T270" s="28"/>
      <c r="U270" s="28"/>
      <c r="V270" s="28"/>
      <c r="W270" s="28"/>
    </row>
    <row r="271" spans="1:23" thickBot="1" x14ac:dyDescent="0.25">
      <c r="A271" s="29"/>
      <c r="B271" s="29"/>
      <c r="F271" s="37"/>
      <c r="N271" t="s">
        <v>35</v>
      </c>
      <c r="P271" s="28"/>
      <c r="Q271" s="27"/>
      <c r="R271" s="27"/>
      <c r="S271" s="27"/>
      <c r="T271" s="27"/>
      <c r="U271" s="27"/>
      <c r="V271" s="27"/>
      <c r="W271" s="27"/>
    </row>
    <row r="272" spans="1:23" thickBot="1" x14ac:dyDescent="0.25">
      <c r="F272" s="37"/>
      <c r="N272" t="s">
        <v>35</v>
      </c>
      <c r="Q272" s="27"/>
      <c r="R272" s="27"/>
      <c r="S272" s="27"/>
      <c r="T272" s="27"/>
      <c r="U272" s="27"/>
      <c r="V272" s="27"/>
      <c r="W272" s="27"/>
    </row>
    <row r="273" spans="6:23" thickBot="1" x14ac:dyDescent="0.25">
      <c r="F273" s="37"/>
      <c r="N273" t="s">
        <v>35</v>
      </c>
      <c r="P273" s="35"/>
      <c r="Q273" s="28"/>
      <c r="R273" s="28"/>
      <c r="S273" s="28"/>
      <c r="T273" s="28"/>
      <c r="U273" s="28"/>
      <c r="V273" s="28"/>
      <c r="W273" s="28"/>
    </row>
    <row r="274" spans="6:23" thickBot="1" x14ac:dyDescent="0.25">
      <c r="F274" s="37"/>
      <c r="N274" t="s">
        <v>35</v>
      </c>
      <c r="P274" s="35"/>
    </row>
    <row r="275" spans="6:23" thickBot="1" x14ac:dyDescent="0.25">
      <c r="F275" s="37"/>
      <c r="N275" t="s">
        <v>35</v>
      </c>
      <c r="P275" s="27"/>
      <c r="Q275" s="35"/>
      <c r="R275" s="35"/>
      <c r="S275" s="35"/>
      <c r="T275" s="35"/>
      <c r="U275" s="35"/>
      <c r="V275" s="35"/>
      <c r="W275" s="35"/>
    </row>
    <row r="276" spans="6:23" thickBot="1" x14ac:dyDescent="0.25">
      <c r="F276" s="37"/>
      <c r="N276" t="s">
        <v>35</v>
      </c>
      <c r="O276" s="35"/>
      <c r="P276" s="27"/>
      <c r="Q276" s="35"/>
      <c r="R276" s="35"/>
      <c r="S276" s="35"/>
      <c r="T276" s="35"/>
      <c r="U276" s="35"/>
      <c r="V276" s="35"/>
      <c r="W276" s="35"/>
    </row>
    <row r="277" spans="6:23" thickBot="1" x14ac:dyDescent="0.25">
      <c r="F277" s="37"/>
      <c r="N277" t="s">
        <v>35</v>
      </c>
      <c r="O277" s="35"/>
      <c r="P277" s="35"/>
      <c r="Q277" s="27"/>
      <c r="R277" s="27"/>
      <c r="S277" s="27"/>
      <c r="T277" s="27"/>
      <c r="U277" s="27"/>
      <c r="V277" s="27"/>
      <c r="W277" s="27"/>
    </row>
    <row r="278" spans="6:23" thickBot="1" x14ac:dyDescent="0.25">
      <c r="F278" s="37"/>
      <c r="N278" t="s">
        <v>35</v>
      </c>
      <c r="P278" s="27"/>
      <c r="Q278" s="27"/>
      <c r="R278" s="27"/>
      <c r="S278" s="27"/>
      <c r="T278" s="27"/>
      <c r="U278" s="27"/>
      <c r="V278" s="27"/>
      <c r="W278" s="27"/>
    </row>
    <row r="279" spans="6:23" thickBot="1" x14ac:dyDescent="0.25">
      <c r="F279" s="37"/>
      <c r="N279" t="s">
        <v>35</v>
      </c>
      <c r="O279" s="28"/>
      <c r="P279" s="35"/>
      <c r="Q279" s="35"/>
      <c r="R279" s="35"/>
      <c r="S279" s="35"/>
      <c r="T279" s="35"/>
      <c r="U279" s="35"/>
      <c r="V279" s="35"/>
      <c r="W279" s="35"/>
    </row>
    <row r="280" spans="6:23" thickBot="1" x14ac:dyDescent="0.25">
      <c r="F280" s="37"/>
      <c r="N280" t="s">
        <v>35</v>
      </c>
      <c r="O280" s="35"/>
      <c r="P280" s="35"/>
      <c r="Q280" s="27"/>
      <c r="R280" s="27"/>
      <c r="S280" s="27"/>
      <c r="T280" s="27"/>
      <c r="U280" s="27"/>
      <c r="V280" s="27"/>
      <c r="W280" s="27"/>
    </row>
    <row r="281" spans="6:23" thickBot="1" x14ac:dyDescent="0.25">
      <c r="F281" s="37"/>
      <c r="N281" t="s">
        <v>35</v>
      </c>
      <c r="O281" s="35"/>
      <c r="P281" s="35"/>
      <c r="Q281" s="35"/>
      <c r="R281" s="35"/>
      <c r="S281" s="35"/>
      <c r="T281" s="35"/>
      <c r="U281" s="35"/>
      <c r="V281" s="35"/>
      <c r="W281" s="35"/>
    </row>
    <row r="282" spans="6:23" thickBot="1" x14ac:dyDescent="0.25">
      <c r="F282" s="37"/>
      <c r="N282" t="s">
        <v>35</v>
      </c>
      <c r="O282" s="35"/>
      <c r="P282" s="35"/>
      <c r="Q282" s="35"/>
      <c r="R282" s="35"/>
      <c r="S282" s="35"/>
      <c r="T282" s="35"/>
      <c r="U282" s="35"/>
      <c r="V282" s="35"/>
      <c r="W282" s="35"/>
    </row>
    <row r="283" spans="6:23" thickBot="1" x14ac:dyDescent="0.25">
      <c r="F283" s="37"/>
      <c r="N283" t="s">
        <v>35</v>
      </c>
      <c r="O283" s="27"/>
      <c r="Q283" s="35"/>
      <c r="R283" s="35"/>
      <c r="S283" s="35"/>
      <c r="T283" s="35"/>
      <c r="U283" s="35"/>
      <c r="V283" s="35"/>
      <c r="W283" s="35"/>
    </row>
    <row r="284" spans="6:23" thickBot="1" x14ac:dyDescent="0.25">
      <c r="F284" s="37"/>
      <c r="N284" t="s">
        <v>35</v>
      </c>
      <c r="Q284" s="35"/>
      <c r="R284" s="35"/>
      <c r="S284" s="35"/>
      <c r="T284" s="35"/>
      <c r="U284" s="35"/>
      <c r="V284" s="35"/>
      <c r="W284" s="35"/>
    </row>
    <row r="285" spans="6:23" thickBot="1" x14ac:dyDescent="0.25">
      <c r="F285" s="37"/>
      <c r="N285" t="s">
        <v>35</v>
      </c>
    </row>
    <row r="286" spans="6:23" thickBot="1" x14ac:dyDescent="0.25">
      <c r="F286" s="37"/>
      <c r="N286" t="s">
        <v>35</v>
      </c>
      <c r="O286" s="27"/>
    </row>
    <row r="287" spans="6:23" thickBot="1" x14ac:dyDescent="0.25">
      <c r="F287" s="37"/>
      <c r="N287" t="s">
        <v>35</v>
      </c>
      <c r="O287" s="27"/>
      <c r="P287" s="35"/>
    </row>
    <row r="288" spans="6:23" thickBot="1" x14ac:dyDescent="0.25">
      <c r="N288" t="s">
        <v>35</v>
      </c>
      <c r="O288" s="27"/>
      <c r="P288" s="35"/>
    </row>
    <row r="289" spans="14:23" thickBot="1" x14ac:dyDescent="0.25">
      <c r="N289" t="s">
        <v>35</v>
      </c>
      <c r="O289" s="35"/>
      <c r="P289" s="28"/>
      <c r="Q289" s="35"/>
      <c r="R289" s="35"/>
      <c r="S289" s="35"/>
      <c r="T289" s="35"/>
      <c r="U289" s="35"/>
      <c r="V289" s="35"/>
      <c r="W289" s="35"/>
    </row>
    <row r="290" spans="14:23" thickBot="1" x14ac:dyDescent="0.25">
      <c r="N290" t="s">
        <v>35</v>
      </c>
      <c r="P290" s="35"/>
      <c r="Q290" s="35"/>
      <c r="R290" s="35"/>
      <c r="S290" s="35"/>
      <c r="T290" s="35"/>
      <c r="U290" s="35"/>
      <c r="V290" s="35"/>
      <c r="W290" s="35"/>
    </row>
    <row r="291" spans="14:23" thickBot="1" x14ac:dyDescent="0.25">
      <c r="N291" t="s">
        <v>35</v>
      </c>
      <c r="O291" s="35"/>
      <c r="P291" s="35"/>
      <c r="Q291" s="28"/>
      <c r="R291" s="28"/>
      <c r="S291" s="28"/>
      <c r="T291" s="28"/>
      <c r="U291" s="28"/>
      <c r="V291" s="28"/>
      <c r="W291" s="28"/>
    </row>
    <row r="292" spans="14:23" thickBot="1" x14ac:dyDescent="0.25">
      <c r="N292" t="s">
        <v>35</v>
      </c>
      <c r="O292" s="35"/>
      <c r="Q292" s="35"/>
      <c r="R292" s="35"/>
      <c r="S292" s="35"/>
      <c r="T292" s="35"/>
      <c r="U292" s="35"/>
      <c r="V292" s="35"/>
      <c r="W292" s="35"/>
    </row>
    <row r="293" spans="14:23" thickBot="1" x14ac:dyDescent="0.25">
      <c r="N293" t="s">
        <v>35</v>
      </c>
      <c r="Q293" s="35"/>
      <c r="R293" s="35"/>
      <c r="S293" s="35"/>
      <c r="T293" s="35"/>
      <c r="U293" s="35"/>
      <c r="V293" s="35"/>
      <c r="W293" s="35"/>
    </row>
    <row r="294" spans="14:23" thickBot="1" x14ac:dyDescent="0.25">
      <c r="N294" t="s">
        <v>35</v>
      </c>
      <c r="P294" s="35"/>
    </row>
    <row r="295" spans="14:23" thickBot="1" x14ac:dyDescent="0.25">
      <c r="N295" t="s">
        <v>35</v>
      </c>
      <c r="P295" s="27"/>
    </row>
    <row r="296" spans="14:23" thickBot="1" x14ac:dyDescent="0.25">
      <c r="N296" t="s">
        <v>35</v>
      </c>
      <c r="O296" s="27"/>
      <c r="P296" s="27"/>
      <c r="Q296" s="35"/>
      <c r="R296" s="35"/>
      <c r="S296" s="35"/>
      <c r="T296" s="35"/>
      <c r="U296" s="35"/>
      <c r="V296" s="35"/>
      <c r="W296" s="35"/>
    </row>
    <row r="297" spans="14:23" thickBot="1" x14ac:dyDescent="0.25">
      <c r="N297" t="s">
        <v>35</v>
      </c>
      <c r="P297" s="35"/>
      <c r="Q297" s="27"/>
      <c r="R297" s="27"/>
      <c r="S297" s="27"/>
      <c r="T297" s="27"/>
      <c r="U297" s="27"/>
      <c r="V297" s="27"/>
      <c r="W297" s="27"/>
    </row>
    <row r="298" spans="14:23" thickBot="1" x14ac:dyDescent="0.25">
      <c r="N298" t="s">
        <v>35</v>
      </c>
      <c r="O298" s="35"/>
      <c r="P298" s="35"/>
      <c r="Q298" s="27"/>
      <c r="R298" s="27"/>
      <c r="S298" s="27"/>
      <c r="T298" s="27"/>
      <c r="U298" s="27"/>
      <c r="V298" s="27"/>
      <c r="W298" s="27"/>
    </row>
    <row r="299" spans="14:23" thickBot="1" x14ac:dyDescent="0.25">
      <c r="N299" t="s">
        <v>35</v>
      </c>
      <c r="O299" s="35"/>
      <c r="Q299" s="35"/>
      <c r="R299" s="35"/>
      <c r="S299" s="35"/>
      <c r="T299" s="35"/>
      <c r="U299" s="35"/>
      <c r="V299" s="35"/>
      <c r="W299" s="35"/>
    </row>
    <row r="300" spans="14:23" thickBot="1" x14ac:dyDescent="0.25">
      <c r="N300" t="s">
        <v>35</v>
      </c>
      <c r="P300" s="35"/>
      <c r="Q300" s="35"/>
      <c r="R300" s="35"/>
      <c r="S300" s="35"/>
      <c r="T300" s="35"/>
      <c r="U300" s="35"/>
      <c r="V300" s="35"/>
      <c r="W300" s="35"/>
    </row>
    <row r="301" spans="14:23" thickBot="1" x14ac:dyDescent="0.25">
      <c r="N301" t="s">
        <v>35</v>
      </c>
    </row>
    <row r="302" spans="14:23" thickBot="1" x14ac:dyDescent="0.25">
      <c r="N302" t="s">
        <v>35</v>
      </c>
      <c r="O302" s="35"/>
      <c r="Q302" s="35"/>
      <c r="R302" s="35"/>
      <c r="S302" s="35"/>
      <c r="T302" s="35"/>
      <c r="U302" s="35"/>
      <c r="V302" s="35"/>
      <c r="W302" s="35"/>
    </row>
    <row r="303" spans="14:23" thickBot="1" x14ac:dyDescent="0.25">
      <c r="N303" t="s">
        <v>35</v>
      </c>
      <c r="O303" s="27"/>
      <c r="P303" s="35"/>
    </row>
    <row r="304" spans="14:23" thickBot="1" x14ac:dyDescent="0.25">
      <c r="N304" t="s">
        <v>35</v>
      </c>
      <c r="O304" s="27"/>
      <c r="P304" s="35"/>
    </row>
    <row r="305" spans="14:23" thickBot="1" x14ac:dyDescent="0.25">
      <c r="N305" t="s">
        <v>35</v>
      </c>
      <c r="O305" s="35"/>
      <c r="P305" s="27"/>
      <c r="Q305" s="35"/>
      <c r="R305" s="35"/>
      <c r="S305" s="35"/>
      <c r="T305" s="35"/>
      <c r="U305" s="35"/>
      <c r="V305" s="35"/>
      <c r="W305" s="35"/>
    </row>
    <row r="306" spans="14:23" thickBot="1" x14ac:dyDescent="0.25">
      <c r="N306" t="s">
        <v>35</v>
      </c>
      <c r="O306" s="35"/>
      <c r="P306" s="28"/>
      <c r="Q306" s="35"/>
      <c r="R306" s="35"/>
      <c r="S306" s="35"/>
      <c r="T306" s="35"/>
      <c r="U306" s="35"/>
      <c r="V306" s="35"/>
      <c r="W306" s="35"/>
    </row>
    <row r="307" spans="14:23" thickBot="1" x14ac:dyDescent="0.25">
      <c r="N307" t="s">
        <v>35</v>
      </c>
      <c r="P307" s="35"/>
      <c r="Q307" s="27"/>
      <c r="R307" s="27"/>
      <c r="S307" s="27"/>
      <c r="T307" s="27"/>
      <c r="U307" s="27"/>
      <c r="V307" s="27"/>
      <c r="W307" s="27"/>
    </row>
    <row r="308" spans="14:23" thickBot="1" x14ac:dyDescent="0.25">
      <c r="N308" t="s">
        <v>35</v>
      </c>
      <c r="O308" s="35"/>
      <c r="P308" s="35"/>
      <c r="Q308" s="28"/>
      <c r="R308" s="28"/>
      <c r="S308" s="28"/>
      <c r="T308" s="28"/>
      <c r="U308" s="28"/>
      <c r="V308" s="28"/>
      <c r="W308" s="28"/>
    </row>
    <row r="309" spans="14:23" thickBot="1" x14ac:dyDescent="0.25">
      <c r="N309" t="s">
        <v>35</v>
      </c>
      <c r="O309" s="35"/>
      <c r="Q309" s="35"/>
      <c r="R309" s="35"/>
      <c r="S309" s="35"/>
      <c r="T309" s="35"/>
      <c r="U309" s="35"/>
      <c r="V309" s="35"/>
      <c r="W309" s="35"/>
    </row>
    <row r="310" spans="14:23" thickBot="1" x14ac:dyDescent="0.25">
      <c r="N310" t="s">
        <v>35</v>
      </c>
      <c r="O310" s="35"/>
      <c r="Q310" s="35"/>
      <c r="R310" s="35"/>
      <c r="S310" s="35"/>
      <c r="T310" s="35"/>
      <c r="U310" s="35"/>
      <c r="V310" s="35"/>
      <c r="W310" s="35"/>
    </row>
    <row r="311" spans="14:23" thickBot="1" x14ac:dyDescent="0.25">
      <c r="N311" t="s">
        <v>35</v>
      </c>
      <c r="O311" s="35"/>
    </row>
    <row r="312" spans="14:23" thickBot="1" x14ac:dyDescent="0.25">
      <c r="N312" t="s">
        <v>35</v>
      </c>
    </row>
    <row r="313" spans="14:23" thickBot="1" x14ac:dyDescent="0.25">
      <c r="N313" t="s">
        <v>35</v>
      </c>
    </row>
    <row r="314" spans="14:23" thickBot="1" x14ac:dyDescent="0.25">
      <c r="N314" t="s">
        <v>35</v>
      </c>
    </row>
    <row r="315" spans="14:23" thickBot="1" x14ac:dyDescent="0.25">
      <c r="N315" t="s">
        <v>35</v>
      </c>
      <c r="O315" s="27"/>
      <c r="P315" s="35"/>
    </row>
    <row r="316" spans="14:23" thickBot="1" x14ac:dyDescent="0.25">
      <c r="P316" s="35"/>
    </row>
    <row r="317" spans="14:23" thickBot="1" x14ac:dyDescent="0.25">
      <c r="P317" s="35"/>
      <c r="Q317" s="35"/>
      <c r="R317" s="35"/>
      <c r="S317" s="35"/>
      <c r="T317" s="35"/>
      <c r="U317" s="35"/>
      <c r="V317" s="35"/>
      <c r="W317" s="35"/>
    </row>
    <row r="318" spans="14:23" thickBot="1" x14ac:dyDescent="0.25">
      <c r="P318" s="28"/>
      <c r="Q318" s="35"/>
      <c r="R318" s="35"/>
      <c r="S318" s="35"/>
      <c r="T318" s="35"/>
      <c r="U318" s="35"/>
      <c r="V318" s="35"/>
      <c r="W318" s="35"/>
    </row>
    <row r="319" spans="14:23" thickBot="1" x14ac:dyDescent="0.25">
      <c r="P319" s="35"/>
      <c r="Q319" s="35"/>
      <c r="R319" s="35"/>
      <c r="S319" s="35"/>
      <c r="T319" s="35"/>
      <c r="U319" s="35"/>
      <c r="V319" s="35"/>
      <c r="W319" s="35"/>
    </row>
    <row r="320" spans="14:23" thickBot="1" x14ac:dyDescent="0.25">
      <c r="O320" s="35"/>
      <c r="P320" s="35"/>
      <c r="Q320" s="28"/>
      <c r="R320" s="28"/>
      <c r="S320" s="28"/>
      <c r="T320" s="28"/>
      <c r="U320" s="28"/>
      <c r="V320" s="28"/>
      <c r="W320" s="28"/>
    </row>
    <row r="321" spans="15:23" thickBot="1" x14ac:dyDescent="0.25">
      <c r="Q321" s="35"/>
      <c r="R321" s="35"/>
      <c r="S321" s="35"/>
      <c r="T321" s="35"/>
      <c r="U321" s="35"/>
      <c r="V321" s="35"/>
      <c r="W321" s="35"/>
    </row>
    <row r="322" spans="15:23" thickBot="1" x14ac:dyDescent="0.25">
      <c r="O322" s="27"/>
      <c r="P322" s="35"/>
      <c r="Q322" s="35"/>
      <c r="R322" s="35"/>
      <c r="S322" s="35"/>
      <c r="T322" s="35"/>
      <c r="U322" s="35"/>
      <c r="V322" s="35"/>
      <c r="W322" s="35"/>
    </row>
    <row r="323" spans="15:23" thickBot="1" x14ac:dyDescent="0.25">
      <c r="P323" s="35"/>
    </row>
    <row r="324" spans="15:23" thickBot="1" x14ac:dyDescent="0.25">
      <c r="O324" s="35"/>
      <c r="P324" s="35"/>
      <c r="Q324" s="35"/>
      <c r="R324" s="35"/>
      <c r="S324" s="35"/>
      <c r="T324" s="35"/>
      <c r="U324" s="35"/>
      <c r="V324" s="35"/>
      <c r="W324" s="35"/>
    </row>
    <row r="325" spans="15:23" thickBot="1" x14ac:dyDescent="0.25">
      <c r="O325" s="35"/>
      <c r="P325" s="27"/>
      <c r="Q325" s="35"/>
      <c r="R325" s="35"/>
      <c r="S325" s="35"/>
      <c r="T325" s="35"/>
      <c r="U325" s="35"/>
      <c r="V325" s="35"/>
      <c r="W325" s="35"/>
    </row>
    <row r="326" spans="15:23" thickBot="1" x14ac:dyDescent="0.25">
      <c r="P326" s="35"/>
      <c r="Q326" s="35"/>
      <c r="R326" s="35"/>
      <c r="S326" s="35"/>
      <c r="T326" s="35"/>
      <c r="U326" s="35"/>
      <c r="V326" s="35"/>
      <c r="W326" s="35"/>
    </row>
    <row r="327" spans="15:23" thickBot="1" x14ac:dyDescent="0.25">
      <c r="P327" s="35"/>
      <c r="Q327" s="27"/>
      <c r="R327" s="27"/>
      <c r="S327" s="27"/>
      <c r="T327" s="27"/>
      <c r="U327" s="27"/>
      <c r="V327" s="27"/>
      <c r="W327" s="27"/>
    </row>
    <row r="328" spans="15:23" thickBot="1" x14ac:dyDescent="0.25">
      <c r="P328" s="35"/>
      <c r="Q328" s="35"/>
      <c r="R328" s="35"/>
      <c r="S328" s="35"/>
      <c r="T328" s="35"/>
      <c r="U328" s="35"/>
      <c r="V328" s="35"/>
      <c r="W328" s="35"/>
    </row>
    <row r="329" spans="15:23" thickBot="1" x14ac:dyDescent="0.25">
      <c r="P329" s="35"/>
      <c r="Q329" s="35"/>
      <c r="R329" s="35"/>
      <c r="S329" s="35"/>
      <c r="T329" s="35"/>
      <c r="U329" s="35"/>
      <c r="V329" s="35"/>
      <c r="W329" s="35"/>
    </row>
    <row r="330" spans="15:23" thickBot="1" x14ac:dyDescent="0.25">
      <c r="P330" s="27"/>
      <c r="Q330" s="35"/>
      <c r="R330" s="35"/>
      <c r="S330" s="35"/>
      <c r="T330" s="35"/>
      <c r="U330" s="35"/>
      <c r="V330" s="35"/>
      <c r="W330" s="35"/>
    </row>
    <row r="331" spans="15:23" thickBot="1" x14ac:dyDescent="0.25">
      <c r="P331" s="35"/>
      <c r="Q331" s="35"/>
      <c r="R331" s="35"/>
      <c r="S331" s="35"/>
      <c r="T331" s="35"/>
      <c r="U331" s="35"/>
      <c r="V331" s="35"/>
      <c r="W331" s="35"/>
    </row>
    <row r="332" spans="15:23" thickBot="1" x14ac:dyDescent="0.25">
      <c r="P332" s="27"/>
      <c r="Q332" s="27"/>
      <c r="R332" s="27"/>
      <c r="S332" s="27"/>
      <c r="T332" s="27"/>
      <c r="U332" s="27"/>
      <c r="V332" s="27"/>
      <c r="W332" s="27"/>
    </row>
    <row r="333" spans="15:23" thickBot="1" x14ac:dyDescent="0.25">
      <c r="Q333" s="35"/>
      <c r="R333" s="35"/>
      <c r="S333" s="35"/>
      <c r="T333" s="35"/>
      <c r="U333" s="35"/>
      <c r="V333" s="35"/>
      <c r="W333" s="35"/>
    </row>
    <row r="334" spans="15:23" thickBot="1" x14ac:dyDescent="0.25">
      <c r="Q334" s="27"/>
      <c r="R334" s="27"/>
      <c r="S334" s="27"/>
      <c r="T334" s="27"/>
      <c r="U334" s="27"/>
      <c r="V334" s="27"/>
      <c r="W334" s="27"/>
    </row>
    <row r="339" spans="16:23" thickBot="1" x14ac:dyDescent="0.25">
      <c r="P339" s="27"/>
    </row>
    <row r="340" spans="16:23" thickBot="1" x14ac:dyDescent="0.25">
      <c r="P340" s="35"/>
    </row>
    <row r="341" spans="16:23" thickBot="1" x14ac:dyDescent="0.25">
      <c r="Q341" s="27"/>
      <c r="R341" s="27"/>
      <c r="S341" s="27"/>
      <c r="T341" s="27"/>
      <c r="U341" s="27"/>
      <c r="V341" s="27"/>
      <c r="W341" s="27"/>
    </row>
    <row r="342" spans="16:23" thickBot="1" x14ac:dyDescent="0.25">
      <c r="P342" s="35"/>
      <c r="Q342" s="35"/>
      <c r="R342" s="35"/>
      <c r="S342" s="35"/>
      <c r="T342" s="35"/>
      <c r="U342" s="35"/>
      <c r="V342" s="35"/>
      <c r="W342" s="35"/>
    </row>
    <row r="344" spans="16:23" thickBot="1" x14ac:dyDescent="0.25">
      <c r="P344" s="35"/>
      <c r="Q344" s="35"/>
      <c r="R344" s="35"/>
      <c r="S344" s="35"/>
      <c r="T344" s="35"/>
      <c r="U344" s="35"/>
      <c r="V344" s="35"/>
      <c r="W344" s="35"/>
    </row>
    <row r="345" spans="16:23" thickBot="1" x14ac:dyDescent="0.25">
      <c r="P345" s="35"/>
    </row>
    <row r="346" spans="16:23" thickBot="1" x14ac:dyDescent="0.25">
      <c r="P346" s="35"/>
      <c r="Q346" s="35"/>
      <c r="R346" s="35"/>
      <c r="S346" s="35"/>
      <c r="T346" s="35"/>
      <c r="U346" s="35"/>
      <c r="V346" s="35"/>
      <c r="W346" s="35"/>
    </row>
    <row r="347" spans="16:23" thickBot="1" x14ac:dyDescent="0.25">
      <c r="P347" s="35"/>
      <c r="Q347" s="35"/>
      <c r="R347" s="35"/>
      <c r="S347" s="35"/>
      <c r="T347" s="35"/>
      <c r="U347" s="35"/>
      <c r="V347" s="35"/>
      <c r="W347" s="35"/>
    </row>
    <row r="348" spans="16:23" thickBot="1" x14ac:dyDescent="0.25">
      <c r="Q348" s="35"/>
      <c r="R348" s="35"/>
      <c r="S348" s="35"/>
      <c r="T348" s="35"/>
      <c r="U348" s="35"/>
      <c r="V348" s="35"/>
      <c r="W348" s="35"/>
    </row>
    <row r="349" spans="16:23" thickBot="1" x14ac:dyDescent="0.25">
      <c r="P349" s="35"/>
      <c r="Q349" s="35"/>
      <c r="R349" s="35"/>
      <c r="S349" s="35"/>
      <c r="T349" s="35"/>
      <c r="U349" s="35"/>
      <c r="V349" s="35"/>
      <c r="W349" s="35"/>
    </row>
    <row r="350" spans="16:23" thickBot="1" x14ac:dyDescent="0.25">
      <c r="P350" s="27"/>
    </row>
    <row r="351" spans="16:23" thickBot="1" x14ac:dyDescent="0.25">
      <c r="P351" s="35"/>
      <c r="Q351" s="35"/>
      <c r="R351" s="35"/>
      <c r="S351" s="35"/>
      <c r="T351" s="35"/>
      <c r="U351" s="35"/>
      <c r="V351" s="35"/>
      <c r="W351" s="35"/>
    </row>
    <row r="352" spans="16:23" thickBot="1" x14ac:dyDescent="0.25">
      <c r="P352" s="35"/>
      <c r="Q352" s="27"/>
      <c r="R352" s="27"/>
      <c r="S352" s="27"/>
      <c r="T352" s="27"/>
      <c r="U352" s="27"/>
      <c r="V352" s="27"/>
      <c r="W352" s="27"/>
    </row>
    <row r="353" spans="16:23" thickBot="1" x14ac:dyDescent="0.25">
      <c r="P353" s="35"/>
      <c r="Q353" s="35"/>
      <c r="R353" s="35"/>
      <c r="S353" s="35"/>
      <c r="T353" s="35"/>
      <c r="U353" s="35"/>
      <c r="V353" s="35"/>
      <c r="W353" s="35"/>
    </row>
    <row r="354" spans="16:23" thickBot="1" x14ac:dyDescent="0.25">
      <c r="P354" s="35"/>
      <c r="Q354" s="35"/>
      <c r="R354" s="35"/>
      <c r="S354" s="35"/>
      <c r="T354" s="35"/>
      <c r="U354" s="35"/>
      <c r="V354" s="35"/>
      <c r="W354" s="35"/>
    </row>
    <row r="355" spans="16:23" thickBot="1" x14ac:dyDescent="0.25">
      <c r="P355" s="35"/>
      <c r="Q355" s="35"/>
      <c r="R355" s="35"/>
      <c r="S355" s="35"/>
      <c r="T355" s="35"/>
      <c r="U355" s="35"/>
      <c r="V355" s="35"/>
      <c r="W355" s="35"/>
    </row>
    <row r="356" spans="16:23" thickBot="1" x14ac:dyDescent="0.25">
      <c r="Q356" s="35"/>
      <c r="R356" s="35"/>
      <c r="S356" s="35"/>
      <c r="T356" s="35"/>
      <c r="U356" s="35"/>
      <c r="V356" s="35"/>
      <c r="W356" s="35"/>
    </row>
    <row r="357" spans="16:23" thickBot="1" x14ac:dyDescent="0.25">
      <c r="Q357" s="35"/>
      <c r="R357" s="35"/>
      <c r="S357" s="35"/>
      <c r="T357" s="35"/>
      <c r="U357" s="35"/>
      <c r="V357" s="35"/>
      <c r="W357" s="35"/>
    </row>
    <row r="359" spans="16:23" thickBot="1" x14ac:dyDescent="0.25">
      <c r="P359" s="28"/>
    </row>
    <row r="361" spans="16:23" thickBot="1" x14ac:dyDescent="0.25">
      <c r="P361" s="35"/>
      <c r="Q361" s="28"/>
      <c r="R361" s="28"/>
      <c r="S361" s="28"/>
      <c r="T361" s="28"/>
      <c r="U361" s="28"/>
      <c r="V361" s="28"/>
      <c r="W361" s="28"/>
    </row>
    <row r="362" spans="16:23" thickBot="1" x14ac:dyDescent="0.25">
      <c r="P362" s="35"/>
    </row>
    <row r="363" spans="16:23" thickBot="1" x14ac:dyDescent="0.25">
      <c r="Q363" s="35"/>
      <c r="R363" s="35"/>
      <c r="S363" s="35"/>
      <c r="T363" s="35"/>
      <c r="U363" s="35"/>
      <c r="V363" s="35"/>
      <c r="W363" s="35"/>
    </row>
    <row r="364" spans="16:23" thickBot="1" x14ac:dyDescent="0.25">
      <c r="Q364" s="35"/>
      <c r="R364" s="35"/>
      <c r="S364" s="35"/>
      <c r="T364" s="35"/>
      <c r="U364" s="35"/>
      <c r="V364" s="35"/>
      <c r="W364" s="35"/>
    </row>
    <row r="365" spans="16:23" thickBot="1" x14ac:dyDescent="0.25">
      <c r="P365" s="27"/>
    </row>
    <row r="366" spans="16:23" thickBot="1" x14ac:dyDescent="0.25">
      <c r="P366" s="27"/>
    </row>
    <row r="367" spans="16:23" thickBot="1" x14ac:dyDescent="0.25">
      <c r="P367" s="27"/>
      <c r="Q367" s="27"/>
      <c r="R367" s="27"/>
      <c r="S367" s="27"/>
      <c r="T367" s="27"/>
      <c r="U367" s="27"/>
      <c r="V367" s="27"/>
      <c r="W367" s="27"/>
    </row>
    <row r="368" spans="16:23" thickBot="1" x14ac:dyDescent="0.25">
      <c r="P368" s="27"/>
      <c r="Q368" s="27"/>
      <c r="R368" s="27"/>
      <c r="S368" s="27"/>
      <c r="T368" s="27"/>
      <c r="U368" s="27"/>
      <c r="V368" s="27"/>
      <c r="W368" s="27"/>
    </row>
    <row r="369" spans="16:23" thickBot="1" x14ac:dyDescent="0.25">
      <c r="P369" s="35"/>
      <c r="Q369" s="27"/>
      <c r="R369" s="27"/>
      <c r="S369" s="27"/>
      <c r="T369" s="27"/>
      <c r="U369" s="27"/>
      <c r="V369" s="27"/>
      <c r="W369" s="27"/>
    </row>
    <row r="370" spans="16:23" thickBot="1" x14ac:dyDescent="0.25">
      <c r="P370" s="27"/>
      <c r="Q370" s="27"/>
      <c r="R370" s="27"/>
      <c r="S370" s="27"/>
      <c r="T370" s="27"/>
      <c r="U370" s="27"/>
      <c r="V370" s="27"/>
      <c r="W370" s="27"/>
    </row>
    <row r="371" spans="16:23" thickBot="1" x14ac:dyDescent="0.25">
      <c r="P371" s="35"/>
      <c r="Q371" s="35"/>
      <c r="R371" s="35"/>
      <c r="S371" s="35"/>
      <c r="T371" s="35"/>
      <c r="U371" s="35"/>
      <c r="V371" s="35"/>
      <c r="W371" s="35"/>
    </row>
    <row r="372" spans="16:23" thickBot="1" x14ac:dyDescent="0.25">
      <c r="P372" s="27"/>
      <c r="Q372" s="27"/>
      <c r="R372" s="27"/>
      <c r="S372" s="27"/>
      <c r="T372" s="27"/>
      <c r="U372" s="27"/>
      <c r="V372" s="27"/>
      <c r="W372" s="27"/>
    </row>
    <row r="373" spans="16:23" thickBot="1" x14ac:dyDescent="0.25">
      <c r="P373" s="35"/>
      <c r="Q373" s="35"/>
      <c r="R373" s="35"/>
      <c r="S373" s="35"/>
      <c r="T373" s="35"/>
      <c r="U373" s="35"/>
      <c r="V373" s="35"/>
      <c r="W373" s="35"/>
    </row>
    <row r="374" spans="16:23" thickBot="1" x14ac:dyDescent="0.25">
      <c r="P374" s="28"/>
      <c r="Q374" s="27"/>
      <c r="R374" s="27"/>
      <c r="S374" s="27"/>
      <c r="T374" s="27"/>
      <c r="U374" s="27"/>
      <c r="V374" s="27"/>
      <c r="W374" s="27"/>
    </row>
    <row r="375" spans="16:23" thickBot="1" x14ac:dyDescent="0.25">
      <c r="Q375" s="35"/>
      <c r="R375" s="35"/>
      <c r="S375" s="35"/>
      <c r="T375" s="35"/>
      <c r="U375" s="35"/>
      <c r="V375" s="35"/>
      <c r="W375" s="35"/>
    </row>
    <row r="376" spans="16:23" thickBot="1" x14ac:dyDescent="0.25">
      <c r="Q376" s="28"/>
      <c r="R376" s="28"/>
      <c r="S376" s="28"/>
      <c r="T376" s="28"/>
      <c r="U376" s="28"/>
      <c r="V376" s="28"/>
      <c r="W376" s="28"/>
    </row>
    <row r="378" spans="16:23" thickBot="1" x14ac:dyDescent="0.25">
      <c r="P378" s="35"/>
    </row>
    <row r="380" spans="16:23" thickBot="1" x14ac:dyDescent="0.25">
      <c r="P380" s="35"/>
      <c r="Q380" s="35"/>
      <c r="R380" s="35"/>
      <c r="S380" s="35"/>
      <c r="T380" s="35"/>
      <c r="U380" s="35"/>
      <c r="V380" s="35"/>
      <c r="W380" s="35"/>
    </row>
    <row r="381" spans="16:23" thickBot="1" x14ac:dyDescent="0.25">
      <c r="P381" s="27"/>
    </row>
    <row r="382" spans="16:23" thickBot="1" x14ac:dyDescent="0.25">
      <c r="Q382" s="35"/>
      <c r="R382" s="35"/>
      <c r="S382" s="35"/>
      <c r="T382" s="35"/>
      <c r="U382" s="35"/>
      <c r="V382" s="35"/>
      <c r="W382" s="35"/>
    </row>
    <row r="383" spans="16:23" thickBot="1" x14ac:dyDescent="0.25">
      <c r="P383" s="27"/>
      <c r="Q383" s="27"/>
      <c r="R383" s="27"/>
      <c r="S383" s="27"/>
      <c r="T383" s="27"/>
      <c r="U383" s="27"/>
      <c r="V383" s="27"/>
      <c r="W383" s="27"/>
    </row>
    <row r="385" spans="16:23" thickBot="1" x14ac:dyDescent="0.25">
      <c r="P385" s="35"/>
      <c r="Q385" s="27"/>
      <c r="R385" s="27"/>
      <c r="S385" s="27"/>
      <c r="T385" s="27"/>
      <c r="U385" s="27"/>
      <c r="V385" s="27"/>
      <c r="W385" s="27"/>
    </row>
    <row r="386" spans="16:23" thickBot="1" x14ac:dyDescent="0.25">
      <c r="P386" s="35"/>
    </row>
    <row r="387" spans="16:23" thickBot="1" x14ac:dyDescent="0.25">
      <c r="P387" s="35"/>
      <c r="Q387" s="35"/>
      <c r="R387" s="35"/>
      <c r="S387" s="35"/>
      <c r="T387" s="35"/>
      <c r="U387" s="35"/>
      <c r="V387" s="35"/>
      <c r="W387" s="35"/>
    </row>
    <row r="388" spans="16:23" thickBot="1" x14ac:dyDescent="0.25">
      <c r="P388" s="35"/>
      <c r="Q388" s="35"/>
      <c r="R388" s="35"/>
      <c r="S388" s="35"/>
      <c r="T388" s="35"/>
      <c r="U388" s="35"/>
      <c r="V388" s="35"/>
      <c r="W388" s="35"/>
    </row>
    <row r="389" spans="16:23" thickBot="1" x14ac:dyDescent="0.25">
      <c r="Q389" s="35"/>
      <c r="R389" s="35"/>
      <c r="S389" s="35"/>
      <c r="T389" s="35"/>
      <c r="U389" s="35"/>
      <c r="V389" s="35"/>
      <c r="W389" s="35"/>
    </row>
    <row r="390" spans="16:23" thickBot="1" x14ac:dyDescent="0.25">
      <c r="Q390" s="35"/>
      <c r="R390" s="35"/>
      <c r="S390" s="35"/>
      <c r="T390" s="35"/>
      <c r="U390" s="35"/>
      <c r="V390" s="35"/>
      <c r="W390" s="35"/>
    </row>
    <row r="392" spans="16:23" ht="12.75" x14ac:dyDescent="0.2"/>
    <row r="393" spans="16:23" ht="12.75" x14ac:dyDescent="0.2"/>
  </sheetData>
  <autoFilter ref="A2:W110">
    <sortState ref="A3:W110">
      <sortCondition ref="K2:K110"/>
    </sortState>
  </autoFilter>
  <sortState ref="A3:M75">
    <sortCondition ref="C3:C75"/>
    <sortCondition ref="D3:D75"/>
  </sortState>
  <phoneticPr fontId="51" type="noConversion"/>
  <conditionalFormatting sqref="F165:F1048576">
    <cfRule type="cellIs" dxfId="5" priority="1625" operator="greaterThan">
      <formula>99</formula>
    </cfRule>
    <cfRule type="cellIs" dxfId="4" priority="1626" operator="between">
      <formula>31</formula>
      <formula>100</formula>
    </cfRule>
    <cfRule type="cellIs" dxfId="3" priority="1627" operator="lessThan">
      <formula>31</formula>
    </cfRule>
  </conditionalFormatting>
  <conditionalFormatting sqref="F1:F1048576">
    <cfRule type="cellIs" dxfId="2" priority="1621" operator="lessThan">
      <formula>31</formula>
    </cfRule>
    <cfRule type="cellIs" dxfId="1" priority="1623" operator="between">
      <formula>31</formula>
      <formula>99</formula>
    </cfRule>
    <cfRule type="cellIs" dxfId="0" priority="1624" operator="greaterThan">
      <formula>99</formula>
    </cfRule>
  </conditionalFormatting>
  <printOptions horizontalCentered="1"/>
  <pageMargins left="0" right="0" top="0.5" bottom="0.5" header="0.5" footer="0"/>
  <pageSetup scale="75" orientation="landscape" r:id="rId1"/>
  <headerFooter alignWithMargins="0">
    <oddFooter>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SNAPSHOT</vt:lpstr>
      <vt:lpstr>ALL</vt:lpstr>
      <vt:lpstr>Sheet1</vt:lpstr>
      <vt:lpstr>ALL!Print_Area</vt:lpstr>
      <vt:lpstr>SNAPSHOT!Print_Area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Rossey, Dana</dc:creator>
  <cp:lastModifiedBy>Gillette, Jacob J</cp:lastModifiedBy>
  <cp:lastPrinted>2013-12-13T22:22:03Z</cp:lastPrinted>
  <dcterms:created xsi:type="dcterms:W3CDTF">2011-04-08T13:14:33Z</dcterms:created>
  <dcterms:modified xsi:type="dcterms:W3CDTF">2015-07-17T20:09:15Z</dcterms:modified>
</cp:coreProperties>
</file>