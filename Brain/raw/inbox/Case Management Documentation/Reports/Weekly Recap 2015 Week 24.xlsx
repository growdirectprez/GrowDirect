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360" yWindow="705" windowWidth="13395" windowHeight="6165"/>
  </bookViews>
  <sheets>
    <sheet name="Master" sheetId="1" r:id="rId1"/>
    <sheet name="Investigations by Region" sheetId="3" state="hidden" r:id="rId2"/>
    <sheet name="Alignment - No Action Needed" sheetId="2" state="hidden" r:id="rId3"/>
  </sheets>
  <definedNames>
    <definedName name="_xlnm._FilterDatabase" localSheetId="0" hidden="1">Master!$A$49:$K$58</definedName>
    <definedName name="_xlnm.Print_Area" localSheetId="0">Master!$A$1:$K$69</definedName>
  </definedNames>
  <calcPr calcId="145621"/>
</workbook>
</file>

<file path=xl/calcChain.xml><?xml version="1.0" encoding="utf-8"?>
<calcChain xmlns="http://schemas.openxmlformats.org/spreadsheetml/2006/main">
  <c r="B19" i="1" l="1"/>
  <c r="C10" i="1"/>
  <c r="J8" i="1" l="1"/>
  <c r="I8" i="1"/>
  <c r="H8" i="1"/>
  <c r="J7" i="1"/>
  <c r="I7" i="1"/>
  <c r="H7" i="1"/>
  <c r="J9" i="1"/>
  <c r="I9" i="1"/>
  <c r="H9" i="1"/>
  <c r="J14" i="1"/>
  <c r="I14" i="1"/>
  <c r="H14" i="1"/>
  <c r="J15" i="1"/>
  <c r="I15" i="1"/>
  <c r="H15" i="1"/>
  <c r="J22" i="1"/>
  <c r="I22" i="1"/>
  <c r="H22" i="1"/>
  <c r="J25" i="1"/>
  <c r="I25" i="1"/>
  <c r="H25" i="1"/>
  <c r="J24" i="1"/>
  <c r="I24" i="1"/>
  <c r="H24" i="1"/>
  <c r="J23" i="1"/>
  <c r="I23" i="1"/>
  <c r="H23" i="1"/>
  <c r="J21" i="1"/>
  <c r="I21" i="1"/>
  <c r="H21" i="1"/>
  <c r="J20" i="1"/>
  <c r="I20" i="1"/>
  <c r="H20" i="1"/>
  <c r="J19" i="1"/>
  <c r="I19" i="1"/>
  <c r="H19" i="1"/>
  <c r="J18" i="1"/>
  <c r="I18" i="1"/>
  <c r="H18" i="1"/>
  <c r="J17" i="1"/>
  <c r="I17" i="1"/>
  <c r="H17" i="1"/>
  <c r="J16" i="1"/>
  <c r="I16" i="1"/>
  <c r="H16" i="1"/>
  <c r="J13" i="1"/>
  <c r="I13" i="1"/>
  <c r="H13" i="1"/>
  <c r="J12" i="1"/>
  <c r="I12" i="1"/>
  <c r="H12" i="1"/>
  <c r="J11" i="1"/>
  <c r="I11" i="1"/>
  <c r="H11" i="1"/>
  <c r="J10" i="1"/>
  <c r="I10" i="1"/>
  <c r="H10" i="1"/>
  <c r="N15" i="3" l="1"/>
  <c r="O15" i="3"/>
  <c r="P15" i="3"/>
  <c r="P7" i="3"/>
  <c r="P8" i="3"/>
  <c r="P9" i="3"/>
  <c r="P10" i="3"/>
  <c r="P11" i="3"/>
  <c r="P12" i="3"/>
  <c r="P13" i="3"/>
  <c r="P14" i="3"/>
  <c r="P6" i="3"/>
  <c r="O7" i="3"/>
  <c r="O8" i="3"/>
  <c r="O9" i="3"/>
  <c r="O10" i="3"/>
  <c r="O11" i="3"/>
  <c r="O12" i="3"/>
  <c r="O13" i="3"/>
  <c r="O14" i="3"/>
  <c r="O6" i="3"/>
  <c r="N7" i="3"/>
  <c r="N8" i="3"/>
  <c r="N9" i="3"/>
  <c r="N10" i="3"/>
  <c r="N11" i="3"/>
  <c r="N12" i="3"/>
  <c r="N13" i="3"/>
  <c r="N14" i="3"/>
  <c r="N6" i="3"/>
  <c r="V7" i="3"/>
  <c r="V8" i="3"/>
  <c r="V9" i="3"/>
  <c r="V10" i="3"/>
  <c r="V11" i="3"/>
  <c r="V12" i="3"/>
  <c r="V13" i="3"/>
  <c r="V14" i="3"/>
  <c r="V15" i="3"/>
  <c r="V16" i="3"/>
  <c r="V17" i="3"/>
  <c r="V18" i="3"/>
  <c r="V19" i="3"/>
  <c r="V20" i="3"/>
  <c r="V21" i="3"/>
  <c r="V22" i="3"/>
  <c r="V23" i="3"/>
  <c r="V24" i="3"/>
  <c r="V25" i="3"/>
  <c r="V26" i="3"/>
  <c r="V27" i="3"/>
  <c r="V28" i="3"/>
  <c r="V29" i="3"/>
  <c r="V30" i="3"/>
  <c r="V31" i="3"/>
  <c r="V32" i="3"/>
  <c r="V33" i="3"/>
  <c r="V34" i="3"/>
  <c r="V35" i="3"/>
  <c r="V36" i="3"/>
  <c r="V37" i="3"/>
  <c r="V38" i="3"/>
  <c r="V39" i="3"/>
  <c r="V40" i="3"/>
  <c r="V41" i="3"/>
  <c r="V42" i="3"/>
  <c r="V43" i="3"/>
  <c r="V44" i="3"/>
  <c r="V45" i="3"/>
  <c r="V46" i="3"/>
  <c r="V47" i="3"/>
  <c r="V48" i="3"/>
  <c r="V49" i="3"/>
  <c r="V50" i="3"/>
  <c r="V51" i="3"/>
  <c r="V52" i="3"/>
  <c r="V53" i="3"/>
  <c r="V54" i="3"/>
  <c r="V55" i="3"/>
  <c r="V56" i="3"/>
  <c r="V57" i="3"/>
  <c r="V58" i="3"/>
  <c r="V59" i="3"/>
  <c r="V60" i="3"/>
  <c r="V61" i="3"/>
  <c r="V62" i="3"/>
  <c r="V63" i="3"/>
  <c r="V64" i="3"/>
  <c r="V65" i="3"/>
  <c r="V66" i="3"/>
  <c r="V67" i="3"/>
  <c r="V68" i="3"/>
  <c r="V69" i="3"/>
  <c r="V70" i="3"/>
  <c r="V71" i="3"/>
  <c r="V72" i="3"/>
  <c r="V73" i="3"/>
  <c r="V74" i="3"/>
  <c r="V75" i="3"/>
  <c r="V76" i="3"/>
  <c r="V77" i="3"/>
  <c r="V78" i="3"/>
  <c r="V79" i="3"/>
  <c r="V80" i="3"/>
  <c r="V81" i="3"/>
  <c r="V82" i="3"/>
  <c r="V83" i="3"/>
  <c r="V84" i="3"/>
  <c r="V85" i="3"/>
  <c r="V86" i="3"/>
  <c r="V87" i="3"/>
  <c r="V88" i="3"/>
  <c r="V89" i="3"/>
  <c r="V90" i="3"/>
  <c r="V91" i="3"/>
  <c r="V92" i="3"/>
  <c r="V93" i="3"/>
  <c r="V94" i="3"/>
  <c r="V95" i="3"/>
  <c r="V96" i="3"/>
  <c r="V97" i="3"/>
  <c r="V98" i="3"/>
  <c r="V99" i="3"/>
  <c r="V100" i="3"/>
  <c r="V101" i="3"/>
  <c r="V102" i="3"/>
  <c r="V103" i="3"/>
  <c r="V6" i="3"/>
  <c r="U7" i="3"/>
  <c r="U8" i="3"/>
  <c r="U9" i="3"/>
  <c r="U10" i="3"/>
  <c r="U11" i="3"/>
  <c r="U12" i="3"/>
  <c r="U13" i="3"/>
  <c r="U14" i="3"/>
  <c r="U15" i="3"/>
  <c r="U16" i="3"/>
  <c r="U17" i="3"/>
  <c r="U18" i="3"/>
  <c r="U19" i="3"/>
  <c r="U20" i="3"/>
  <c r="U21" i="3"/>
  <c r="U22" i="3"/>
  <c r="U23" i="3"/>
  <c r="U24" i="3"/>
  <c r="U25" i="3"/>
  <c r="U26" i="3"/>
  <c r="U27" i="3"/>
  <c r="U28" i="3"/>
  <c r="U29" i="3"/>
  <c r="U30" i="3"/>
  <c r="U31" i="3"/>
  <c r="U32" i="3"/>
  <c r="U33" i="3"/>
  <c r="U34" i="3"/>
  <c r="U35" i="3"/>
  <c r="U36" i="3"/>
  <c r="U37" i="3"/>
  <c r="U38" i="3"/>
  <c r="U39" i="3"/>
  <c r="U40" i="3"/>
  <c r="U41" i="3"/>
  <c r="U42" i="3"/>
  <c r="U43" i="3"/>
  <c r="U44" i="3"/>
  <c r="U45" i="3"/>
  <c r="U46" i="3"/>
  <c r="U47" i="3"/>
  <c r="U48" i="3"/>
  <c r="U49" i="3"/>
  <c r="U50" i="3"/>
  <c r="U51" i="3"/>
  <c r="U52" i="3"/>
  <c r="U53" i="3"/>
  <c r="U54" i="3"/>
  <c r="U55" i="3"/>
  <c r="U56" i="3"/>
  <c r="U57" i="3"/>
  <c r="U58" i="3"/>
  <c r="U59" i="3"/>
  <c r="U60" i="3"/>
  <c r="U61" i="3"/>
  <c r="U62" i="3"/>
  <c r="U63" i="3"/>
  <c r="U64" i="3"/>
  <c r="U65" i="3"/>
  <c r="U66" i="3"/>
  <c r="U67" i="3"/>
  <c r="U68" i="3"/>
  <c r="U69" i="3"/>
  <c r="U70" i="3"/>
  <c r="U71" i="3"/>
  <c r="U72" i="3"/>
  <c r="U73" i="3"/>
  <c r="U74" i="3"/>
  <c r="U75" i="3"/>
  <c r="U76" i="3"/>
  <c r="U77" i="3"/>
  <c r="U78" i="3"/>
  <c r="U79" i="3"/>
  <c r="U80" i="3"/>
  <c r="U81" i="3"/>
  <c r="U82" i="3"/>
  <c r="U83" i="3"/>
  <c r="U84" i="3"/>
  <c r="U85" i="3"/>
  <c r="U86" i="3"/>
  <c r="U87" i="3"/>
  <c r="U88" i="3"/>
  <c r="U89" i="3"/>
  <c r="U90" i="3"/>
  <c r="U91" i="3"/>
  <c r="U92" i="3"/>
  <c r="U93" i="3"/>
  <c r="U94" i="3"/>
  <c r="U95" i="3"/>
  <c r="U96" i="3"/>
  <c r="U97" i="3"/>
  <c r="U98" i="3"/>
  <c r="U99" i="3"/>
  <c r="U100" i="3"/>
  <c r="U101" i="3"/>
  <c r="U102" i="3"/>
  <c r="U103" i="3"/>
  <c r="U6" i="3"/>
  <c r="R103" i="3"/>
  <c r="R102" i="3"/>
  <c r="R101" i="3"/>
  <c r="W101" i="3" s="1"/>
  <c r="R100" i="3"/>
  <c r="R99" i="3"/>
  <c r="T99" i="3" s="1"/>
  <c r="R98" i="3"/>
  <c r="R97" i="3"/>
  <c r="R96" i="3"/>
  <c r="R95" i="3"/>
  <c r="R94" i="3"/>
  <c r="R93" i="3"/>
  <c r="R92" i="3"/>
  <c r="R91" i="3"/>
  <c r="T91" i="3" s="1"/>
  <c r="R90" i="3"/>
  <c r="R89" i="3"/>
  <c r="R88" i="3"/>
  <c r="R87" i="3"/>
  <c r="R86" i="3"/>
  <c r="R85" i="3"/>
  <c r="R84" i="3"/>
  <c r="R83" i="3"/>
  <c r="T83" i="3" s="1"/>
  <c r="R82" i="3"/>
  <c r="R81" i="3"/>
  <c r="R80" i="3"/>
  <c r="R79" i="3"/>
  <c r="R78" i="3"/>
  <c r="R77" i="3"/>
  <c r="W77" i="3" s="1"/>
  <c r="R76" i="3"/>
  <c r="R75" i="3"/>
  <c r="T75" i="3" s="1"/>
  <c r="R74" i="3"/>
  <c r="R73" i="3"/>
  <c r="R72" i="3"/>
  <c r="R71" i="3"/>
  <c r="R70" i="3"/>
  <c r="R69" i="3"/>
  <c r="R68" i="3"/>
  <c r="R67" i="3"/>
  <c r="T67" i="3" s="1"/>
  <c r="R66" i="3"/>
  <c r="R65" i="3"/>
  <c r="R64" i="3"/>
  <c r="R63" i="3"/>
  <c r="R62" i="3"/>
  <c r="R61" i="3"/>
  <c r="R60" i="3"/>
  <c r="R59" i="3"/>
  <c r="T59" i="3" s="1"/>
  <c r="R58" i="3"/>
  <c r="R57" i="3"/>
  <c r="R56" i="3"/>
  <c r="R55" i="3"/>
  <c r="R54" i="3"/>
  <c r="R53" i="3"/>
  <c r="R52" i="3"/>
  <c r="R51" i="3"/>
  <c r="T51" i="3" s="1"/>
  <c r="R50" i="3"/>
  <c r="R49" i="3"/>
  <c r="R48" i="3"/>
  <c r="R47" i="3"/>
  <c r="R46" i="3"/>
  <c r="R45" i="3"/>
  <c r="R44" i="3"/>
  <c r="R43" i="3"/>
  <c r="R42" i="3"/>
  <c r="R41" i="3"/>
  <c r="R40" i="3"/>
  <c r="R39" i="3"/>
  <c r="R38" i="3"/>
  <c r="R37" i="3"/>
  <c r="W37" i="3" s="1"/>
  <c r="R36" i="3"/>
  <c r="R35" i="3"/>
  <c r="R34" i="3"/>
  <c r="R33" i="3"/>
  <c r="R32" i="3"/>
  <c r="R31" i="3"/>
  <c r="R30" i="3"/>
  <c r="R29" i="3"/>
  <c r="R28" i="3"/>
  <c r="R27" i="3"/>
  <c r="R26" i="3"/>
  <c r="R25" i="3"/>
  <c r="R24" i="3"/>
  <c r="R23" i="3"/>
  <c r="R22" i="3"/>
  <c r="R21" i="3"/>
  <c r="R20" i="3"/>
  <c r="R19" i="3"/>
  <c r="R18" i="3"/>
  <c r="R17" i="3"/>
  <c r="R16" i="3"/>
  <c r="R15" i="3"/>
  <c r="R14" i="3"/>
  <c r="R13" i="3"/>
  <c r="W13" i="3" s="1"/>
  <c r="R12" i="3"/>
  <c r="R11" i="3"/>
  <c r="R10" i="3"/>
  <c r="R9" i="3"/>
  <c r="R8" i="3"/>
  <c r="R7" i="3"/>
  <c r="R6" i="3"/>
  <c r="S7" i="3"/>
  <c r="S8" i="3"/>
  <c r="S9" i="3"/>
  <c r="S10" i="3"/>
  <c r="S11" i="3"/>
  <c r="S12" i="3"/>
  <c r="S13" i="3"/>
  <c r="S14" i="3"/>
  <c r="S15" i="3"/>
  <c r="S16" i="3"/>
  <c r="S17" i="3"/>
  <c r="S18" i="3"/>
  <c r="S19" i="3"/>
  <c r="S20" i="3"/>
  <c r="S21" i="3"/>
  <c r="S22" i="3"/>
  <c r="S23" i="3"/>
  <c r="S24" i="3"/>
  <c r="S25" i="3"/>
  <c r="S26" i="3"/>
  <c r="S27" i="3"/>
  <c r="S28" i="3"/>
  <c r="S29" i="3"/>
  <c r="S30" i="3"/>
  <c r="S31" i="3"/>
  <c r="S32" i="3"/>
  <c r="S33" i="3"/>
  <c r="S34" i="3"/>
  <c r="S35" i="3"/>
  <c r="S36" i="3"/>
  <c r="S37" i="3"/>
  <c r="S38" i="3"/>
  <c r="S39" i="3"/>
  <c r="S40" i="3"/>
  <c r="S41" i="3"/>
  <c r="S42" i="3"/>
  <c r="S43" i="3"/>
  <c r="S44" i="3"/>
  <c r="S45" i="3"/>
  <c r="S46" i="3"/>
  <c r="S47" i="3"/>
  <c r="S48" i="3"/>
  <c r="S49" i="3"/>
  <c r="S50" i="3"/>
  <c r="S51" i="3"/>
  <c r="S52" i="3"/>
  <c r="S53" i="3"/>
  <c r="S54" i="3"/>
  <c r="S55" i="3"/>
  <c r="S56" i="3"/>
  <c r="S57" i="3"/>
  <c r="S58" i="3"/>
  <c r="S59" i="3"/>
  <c r="S60" i="3"/>
  <c r="S61" i="3"/>
  <c r="S62" i="3"/>
  <c r="S63" i="3"/>
  <c r="S64" i="3"/>
  <c r="S65" i="3"/>
  <c r="S66" i="3"/>
  <c r="S67" i="3"/>
  <c r="S68" i="3"/>
  <c r="S69" i="3"/>
  <c r="S70" i="3"/>
  <c r="S71" i="3"/>
  <c r="S72" i="3"/>
  <c r="S73" i="3"/>
  <c r="S74" i="3"/>
  <c r="S75" i="3"/>
  <c r="S76" i="3"/>
  <c r="S77" i="3"/>
  <c r="S78" i="3"/>
  <c r="S79" i="3"/>
  <c r="S80" i="3"/>
  <c r="S81" i="3"/>
  <c r="S82" i="3"/>
  <c r="S83" i="3"/>
  <c r="S84" i="3"/>
  <c r="S85" i="3"/>
  <c r="S86" i="3"/>
  <c r="S87" i="3"/>
  <c r="S88" i="3"/>
  <c r="S89" i="3"/>
  <c r="S90" i="3"/>
  <c r="S91" i="3"/>
  <c r="S92" i="3"/>
  <c r="S93" i="3"/>
  <c r="S94" i="3"/>
  <c r="S95" i="3"/>
  <c r="S96" i="3"/>
  <c r="S97" i="3"/>
  <c r="S98" i="3"/>
  <c r="S99" i="3"/>
  <c r="S100" i="3"/>
  <c r="S101" i="3"/>
  <c r="S102" i="3"/>
  <c r="S103" i="3"/>
  <c r="S6" i="3"/>
  <c r="C69" i="1"/>
  <c r="B69" i="1"/>
  <c r="A69" i="1"/>
  <c r="C64" i="1"/>
  <c r="B64" i="1"/>
  <c r="A64" i="1"/>
  <c r="C67" i="1"/>
  <c r="B67" i="1"/>
  <c r="A67" i="1"/>
  <c r="C54" i="1"/>
  <c r="B54" i="1"/>
  <c r="A54" i="1"/>
  <c r="C66" i="1"/>
  <c r="B66" i="1"/>
  <c r="A66" i="1"/>
  <c r="C65" i="1"/>
  <c r="B65" i="1"/>
  <c r="A65" i="1"/>
  <c r="C63" i="1"/>
  <c r="B63" i="1"/>
  <c r="A63" i="1"/>
  <c r="C68" i="1"/>
  <c r="B68" i="1"/>
  <c r="A68" i="1"/>
  <c r="C70" i="1"/>
  <c r="B70" i="1"/>
  <c r="A70" i="1"/>
  <c r="C62" i="1"/>
  <c r="B62" i="1"/>
  <c r="A62" i="1"/>
  <c r="C56" i="1"/>
  <c r="B56" i="1"/>
  <c r="A56" i="1"/>
  <c r="C55" i="1"/>
  <c r="B55" i="1"/>
  <c r="A55" i="1"/>
  <c r="C53" i="1"/>
  <c r="B53" i="1"/>
  <c r="A53" i="1"/>
  <c r="C52" i="1"/>
  <c r="B52" i="1"/>
  <c r="A52" i="1"/>
  <c r="C51" i="1"/>
  <c r="B51" i="1"/>
  <c r="A51" i="1"/>
  <c r="C57" i="1"/>
  <c r="B57" i="1"/>
  <c r="A57" i="1"/>
  <c r="C50" i="1"/>
  <c r="B50" i="1"/>
  <c r="A50" i="1"/>
  <c r="C58" i="1"/>
  <c r="B58" i="1"/>
  <c r="A58" i="1"/>
  <c r="C49" i="1"/>
  <c r="B49" i="1"/>
  <c r="A49" i="1"/>
  <c r="C31" i="1"/>
  <c r="B31" i="1"/>
  <c r="A31" i="1"/>
  <c r="C30" i="1"/>
  <c r="B30" i="1"/>
  <c r="A30" i="1"/>
  <c r="C29" i="1"/>
  <c r="B29" i="1"/>
  <c r="A29" i="1"/>
  <c r="C8" i="1"/>
  <c r="B8" i="1"/>
  <c r="A8" i="1"/>
  <c r="C7" i="1"/>
  <c r="B7" i="1"/>
  <c r="A7" i="1"/>
  <c r="C9" i="1"/>
  <c r="B9" i="1"/>
  <c r="A9" i="1"/>
  <c r="C14" i="1"/>
  <c r="B14" i="1"/>
  <c r="A14" i="1"/>
  <c r="C15" i="1"/>
  <c r="B15" i="1"/>
  <c r="A15" i="1"/>
  <c r="C22" i="1"/>
  <c r="B22" i="1"/>
  <c r="A22" i="1"/>
  <c r="C25" i="1"/>
  <c r="B25" i="1"/>
  <c r="A25" i="1"/>
  <c r="C24" i="1"/>
  <c r="B24" i="1"/>
  <c r="A24" i="1"/>
  <c r="C23" i="1"/>
  <c r="B23" i="1"/>
  <c r="A23" i="1"/>
  <c r="C21" i="1"/>
  <c r="B21" i="1"/>
  <c r="A21" i="1"/>
  <c r="C20" i="1"/>
  <c r="B20" i="1"/>
  <c r="A20" i="1"/>
  <c r="C19" i="1"/>
  <c r="A19" i="1"/>
  <c r="C18" i="1"/>
  <c r="B18" i="1"/>
  <c r="A18" i="1"/>
  <c r="C17" i="1"/>
  <c r="B17" i="1"/>
  <c r="A17" i="1"/>
  <c r="C16" i="1"/>
  <c r="B16" i="1"/>
  <c r="A16" i="1"/>
  <c r="C13" i="1"/>
  <c r="B13" i="1"/>
  <c r="A13" i="1"/>
  <c r="C12" i="1"/>
  <c r="B12" i="1"/>
  <c r="A12" i="1"/>
  <c r="C11" i="1"/>
  <c r="B11" i="1"/>
  <c r="A11" i="1"/>
  <c r="B10" i="1"/>
  <c r="A10" i="1"/>
  <c r="T52" i="3" l="1"/>
  <c r="T14" i="3"/>
  <c r="T60" i="3"/>
  <c r="T68" i="3"/>
  <c r="T76" i="3"/>
  <c r="T84" i="3"/>
  <c r="T92" i="3"/>
  <c r="T100" i="3"/>
  <c r="T50" i="3"/>
  <c r="T66" i="3"/>
  <c r="T82" i="3"/>
  <c r="T98" i="3"/>
  <c r="T21" i="3"/>
  <c r="T29" i="3"/>
  <c r="T45" i="3"/>
  <c r="T53" i="3"/>
  <c r="T61" i="3"/>
  <c r="T69" i="3"/>
  <c r="T85" i="3"/>
  <c r="T93" i="3"/>
  <c r="T58" i="3"/>
  <c r="T74" i="3"/>
  <c r="T90" i="3"/>
  <c r="T54" i="3"/>
  <c r="T78" i="3"/>
  <c r="T94" i="3"/>
  <c r="T47" i="3"/>
  <c r="T55" i="3"/>
  <c r="T63" i="3"/>
  <c r="T71" i="3"/>
  <c r="T79" i="3"/>
  <c r="T87" i="3"/>
  <c r="T95" i="3"/>
  <c r="T103" i="3"/>
  <c r="T46" i="3"/>
  <c r="T62" i="3"/>
  <c r="T86" i="3"/>
  <c r="T32" i="3"/>
  <c r="T40" i="3"/>
  <c r="T48" i="3"/>
  <c r="T56" i="3"/>
  <c r="T64" i="3"/>
  <c r="T72" i="3"/>
  <c r="T80" i="3"/>
  <c r="T88" i="3"/>
  <c r="T96" i="3"/>
  <c r="T70" i="3"/>
  <c r="T102" i="3"/>
  <c r="T49" i="3"/>
  <c r="T57" i="3"/>
  <c r="T65" i="3"/>
  <c r="T73" i="3"/>
  <c r="T81" i="3"/>
  <c r="T89" i="3"/>
  <c r="T97" i="3"/>
  <c r="W6" i="3"/>
  <c r="T8" i="3"/>
  <c r="T16" i="3"/>
  <c r="T24" i="3"/>
  <c r="T38" i="3"/>
  <c r="T23" i="3"/>
  <c r="T10" i="3"/>
  <c r="T18" i="3"/>
  <c r="T26" i="3"/>
  <c r="T34" i="3"/>
  <c r="T42" i="3"/>
  <c r="T22" i="3"/>
  <c r="T31" i="3"/>
  <c r="T11" i="3"/>
  <c r="T19" i="3"/>
  <c r="T27" i="3"/>
  <c r="T35" i="3"/>
  <c r="T43" i="3"/>
  <c r="T7" i="3"/>
  <c r="T39" i="3"/>
  <c r="T12" i="3"/>
  <c r="T20" i="3"/>
  <c r="T28" i="3"/>
  <c r="T36" i="3"/>
  <c r="T44" i="3"/>
  <c r="T30" i="3"/>
  <c r="T15" i="3"/>
  <c r="T9" i="3"/>
  <c r="T17" i="3"/>
  <c r="T25" i="3"/>
  <c r="T33" i="3"/>
  <c r="T41" i="3"/>
  <c r="W96" i="3"/>
  <c r="W60" i="3"/>
  <c r="W48" i="3"/>
  <c r="W32" i="3"/>
  <c r="W44" i="3"/>
  <c r="W92" i="3"/>
  <c r="W28" i="3"/>
  <c r="W80" i="3"/>
  <c r="W16" i="3"/>
  <c r="W76" i="3"/>
  <c r="W12" i="3"/>
  <c r="W64" i="3"/>
  <c r="W98" i="3"/>
  <c r="W82" i="3"/>
  <c r="W66" i="3"/>
  <c r="W50" i="3"/>
  <c r="W34" i="3"/>
  <c r="W18" i="3"/>
  <c r="W97" i="3"/>
  <c r="W81" i="3"/>
  <c r="W65" i="3"/>
  <c r="W49" i="3"/>
  <c r="W33" i="3"/>
  <c r="W17" i="3"/>
  <c r="W90" i="3"/>
  <c r="W58" i="3"/>
  <c r="W10" i="3"/>
  <c r="W89" i="3"/>
  <c r="W73" i="3"/>
  <c r="W57" i="3"/>
  <c r="W41" i="3"/>
  <c r="W25" i="3"/>
  <c r="W9" i="3"/>
  <c r="W74" i="3"/>
  <c r="W42" i="3"/>
  <c r="W26" i="3"/>
  <c r="W88" i="3"/>
  <c r="W72" i="3"/>
  <c r="W56" i="3"/>
  <c r="W40" i="3"/>
  <c r="W24" i="3"/>
  <c r="W8" i="3"/>
  <c r="W100" i="3"/>
  <c r="W84" i="3"/>
  <c r="W68" i="3"/>
  <c r="W52" i="3"/>
  <c r="W36" i="3"/>
  <c r="W20" i="3"/>
  <c r="T37" i="3"/>
  <c r="T13" i="3"/>
  <c r="W99" i="3"/>
  <c r="W91" i="3"/>
  <c r="W83" i="3"/>
  <c r="W75" i="3"/>
  <c r="W67" i="3"/>
  <c r="W59" i="3"/>
  <c r="W51" i="3"/>
  <c r="W43" i="3"/>
  <c r="W35" i="3"/>
  <c r="W27" i="3"/>
  <c r="W19" i="3"/>
  <c r="W11" i="3"/>
  <c r="T101" i="3"/>
  <c r="W103" i="3"/>
  <c r="W95" i="3"/>
  <c r="W87" i="3"/>
  <c r="W79" i="3"/>
  <c r="W71" i="3"/>
  <c r="W63" i="3"/>
  <c r="W55" i="3"/>
  <c r="W47" i="3"/>
  <c r="W39" i="3"/>
  <c r="W31" i="3"/>
  <c r="W23" i="3"/>
  <c r="W15" i="3"/>
  <c r="W7" i="3"/>
  <c r="T77" i="3"/>
  <c r="W102" i="3"/>
  <c r="W94" i="3"/>
  <c r="W86" i="3"/>
  <c r="W78" i="3"/>
  <c r="W70" i="3"/>
  <c r="W62" i="3"/>
  <c r="W54" i="3"/>
  <c r="W46" i="3"/>
  <c r="W38" i="3"/>
  <c r="W30" i="3"/>
  <c r="W22" i="3"/>
  <c r="W14" i="3"/>
  <c r="W93" i="3"/>
  <c r="W85" i="3"/>
  <c r="W69" i="3"/>
  <c r="W61" i="3"/>
  <c r="W53" i="3"/>
  <c r="W45" i="3"/>
  <c r="W29" i="3"/>
  <c r="W21" i="3"/>
  <c r="M7" i="3"/>
  <c r="F36" i="1" s="1"/>
  <c r="M13" i="3"/>
  <c r="F42" i="1" s="1"/>
  <c r="T6" i="3"/>
  <c r="M12" i="3"/>
  <c r="F41" i="1" s="1"/>
  <c r="M11" i="3"/>
  <c r="F40" i="1" s="1"/>
  <c r="M9" i="3"/>
  <c r="F38" i="1" s="1"/>
  <c r="M8" i="3"/>
  <c r="F37" i="1" s="1"/>
  <c r="M10" i="3"/>
  <c r="F39" i="1" s="1"/>
  <c r="M6" i="3"/>
  <c r="F35" i="1" l="1"/>
  <c r="M14" i="3"/>
  <c r="J8" i="3"/>
  <c r="C37" i="1" s="1"/>
  <c r="J7" i="3"/>
  <c r="C36" i="1" s="1"/>
  <c r="J12" i="3"/>
  <c r="C41" i="1" s="1"/>
  <c r="J9" i="3"/>
  <c r="C38" i="1" s="1"/>
  <c r="J10" i="3"/>
  <c r="C39" i="1" s="1"/>
  <c r="J6" i="3"/>
  <c r="J11" i="3"/>
  <c r="C40" i="1" s="1"/>
  <c r="J13" i="3"/>
  <c r="C42" i="1" s="1"/>
  <c r="K7" i="3"/>
  <c r="D36" i="1" s="1"/>
  <c r="K6" i="3"/>
  <c r="I11" i="3"/>
  <c r="K13" i="3"/>
  <c r="D42" i="1" s="1"/>
  <c r="I7" i="3"/>
  <c r="I6" i="3"/>
  <c r="K8" i="3"/>
  <c r="D37" i="1" s="1"/>
  <c r="K12" i="3"/>
  <c r="D41" i="1" s="1"/>
  <c r="K9" i="3"/>
  <c r="D38" i="1" s="1"/>
  <c r="I12" i="3"/>
  <c r="K10" i="3"/>
  <c r="D39" i="1" s="1"/>
  <c r="K11" i="3"/>
  <c r="D40" i="1" s="1"/>
  <c r="I13" i="3"/>
  <c r="I8" i="3"/>
  <c r="I9" i="3"/>
  <c r="I10" i="3"/>
  <c r="D35" i="1" l="1"/>
  <c r="D43" i="1" s="1"/>
  <c r="K14" i="3"/>
  <c r="I14" i="3"/>
  <c r="C35" i="1"/>
  <c r="J14" i="3"/>
  <c r="B41" i="1"/>
  <c r="L12" i="3"/>
  <c r="E41" i="1" s="1"/>
  <c r="B37" i="1"/>
  <c r="L8" i="3"/>
  <c r="E37" i="1" s="1"/>
  <c r="B42" i="1"/>
  <c r="L13" i="3"/>
  <c r="E42" i="1" s="1"/>
  <c r="B40" i="1"/>
  <c r="L11" i="3"/>
  <c r="E40" i="1" s="1"/>
  <c r="B35" i="1"/>
  <c r="L6" i="3"/>
  <c r="L7" i="3"/>
  <c r="E36" i="1" s="1"/>
  <c r="B36" i="1"/>
  <c r="B39" i="1"/>
  <c r="L10" i="3"/>
  <c r="E39" i="1" s="1"/>
  <c r="B38" i="1"/>
  <c r="L9" i="3"/>
  <c r="E38" i="1" s="1"/>
  <c r="E35" i="1" l="1"/>
  <c r="E43" i="1" s="1"/>
  <c r="L14" i="3"/>
  <c r="B43" i="1" l="1"/>
  <c r="C43" i="1"/>
  <c r="F43" i="1"/>
</calcChain>
</file>

<file path=xl/sharedStrings.xml><?xml version="1.0" encoding="utf-8"?>
<sst xmlns="http://schemas.openxmlformats.org/spreadsheetml/2006/main" count="4914" uniqueCount="959">
  <si>
    <t>Tier</t>
  </si>
  <si>
    <t>Date</t>
  </si>
  <si>
    <t>Type</t>
  </si>
  <si>
    <t>Category</t>
  </si>
  <si>
    <t>Investigations</t>
  </si>
  <si>
    <t>Region</t>
  </si>
  <si>
    <t>DE Case Count</t>
  </si>
  <si>
    <t>Prosecution Count</t>
  </si>
  <si>
    <t>PV Case Count</t>
  </si>
  <si>
    <t>Total $ Value</t>
  </si>
  <si>
    <t>Totals</t>
  </si>
  <si>
    <t>Days Behind</t>
  </si>
  <si>
    <t>Comments</t>
  </si>
  <si>
    <t>GGR1 Midwest</t>
  </si>
  <si>
    <t>GGR1 Great Lakes</t>
  </si>
  <si>
    <t>GGR1 Central</t>
  </si>
  <si>
    <t>GGR2 South</t>
  </si>
  <si>
    <t>GGr2 Western</t>
  </si>
  <si>
    <t>GGR3 Northeast</t>
  </si>
  <si>
    <t>MA Baltimore</t>
  </si>
  <si>
    <t>MA District of Columbia</t>
  </si>
  <si>
    <t>MA New Jersey South</t>
  </si>
  <si>
    <t>MA Philadelphia</t>
  </si>
  <si>
    <t>MT Denver</t>
  </si>
  <si>
    <t>MT Minneapolis</t>
  </si>
  <si>
    <t>MT St Louis</t>
  </si>
  <si>
    <t>MT Wisconsin</t>
  </si>
  <si>
    <t>MW Chicago North</t>
  </si>
  <si>
    <t>MW Chicago South</t>
  </si>
  <si>
    <t>MW Columbus</t>
  </si>
  <si>
    <t>MW Detroit</t>
  </si>
  <si>
    <t>MW Indianapolis</t>
  </si>
  <si>
    <t>MW Western Michigan</t>
  </si>
  <si>
    <t>NE Albany</t>
  </si>
  <si>
    <t>NE Boston</t>
  </si>
  <si>
    <t>NE Hartford</t>
  </si>
  <si>
    <t>NE Metro New York</t>
  </si>
  <si>
    <t>NE New England</t>
  </si>
  <si>
    <t>WE Los Angeles North</t>
  </si>
  <si>
    <t>WE Los Angeles South</t>
  </si>
  <si>
    <t>WE Northwest</t>
  </si>
  <si>
    <t>WE Phoenix</t>
  </si>
  <si>
    <t>WE Salt Lake City</t>
  </si>
  <si>
    <t>Yellow</t>
  </si>
  <si>
    <t>Green</t>
  </si>
  <si>
    <t>Red</t>
  </si>
  <si>
    <t>Par</t>
  </si>
  <si>
    <t>Birdy</t>
  </si>
  <si>
    <t>Bogey</t>
  </si>
  <si>
    <t>Region District</t>
  </si>
  <si>
    <t>SSAR</t>
  </si>
  <si>
    <t>GG-LP</t>
  </si>
  <si>
    <t>IA Re-Audit</t>
  </si>
  <si>
    <t>LPSAR</t>
  </si>
  <si>
    <t>ATF Inspection</t>
  </si>
  <si>
    <t>State Inspection</t>
  </si>
  <si>
    <t>4473 Error</t>
  </si>
  <si>
    <t>Straw Purchase</t>
  </si>
  <si>
    <t>Result</t>
  </si>
  <si>
    <t>Mid Atlantic</t>
  </si>
  <si>
    <t>Northeast</t>
  </si>
  <si>
    <t>Mountain</t>
  </si>
  <si>
    <t>Midwest</t>
  </si>
  <si>
    <t>West</t>
  </si>
  <si>
    <t>Store #</t>
  </si>
  <si>
    <t>Store Name</t>
  </si>
  <si>
    <t>GG</t>
  </si>
  <si>
    <t>Description of Incident</t>
  </si>
  <si>
    <t>Department</t>
  </si>
  <si>
    <t>Total Cases</t>
  </si>
  <si>
    <t>MW Toledo</t>
  </si>
  <si>
    <t>NE New Jersey North</t>
  </si>
  <si>
    <t>NE Rhode Island</t>
  </si>
  <si>
    <t>WE Northern California</t>
  </si>
  <si>
    <t xml:space="preserve">Loss Prevention Weekly Recap   </t>
  </si>
  <si>
    <t>Front End</t>
  </si>
  <si>
    <t>Footwear</t>
  </si>
  <si>
    <t>Team Sports</t>
  </si>
  <si>
    <t>Golf</t>
  </si>
  <si>
    <t>Lodge</t>
  </si>
  <si>
    <t>5+</t>
  </si>
  <si>
    <t>1 to 2</t>
  </si>
  <si>
    <t>2 to 3</t>
  </si>
  <si>
    <t>3 to 4</t>
  </si>
  <si>
    <t>4 to 5</t>
  </si>
  <si>
    <t>Other</t>
  </si>
  <si>
    <t>Apparel/Outerwear</t>
  </si>
  <si>
    <t>Bikes/Exercise</t>
  </si>
  <si>
    <t>Regions</t>
  </si>
  <si>
    <t>GGR3 Mid Atlantic</t>
  </si>
  <si>
    <t>Receiving/Backroom</t>
  </si>
  <si>
    <t>Covert Camera</t>
  </si>
  <si>
    <t>X</t>
  </si>
  <si>
    <t>Southeast</t>
  </si>
  <si>
    <t>Southwest</t>
  </si>
  <si>
    <t>SE Florida North</t>
  </si>
  <si>
    <t>SE Florida South</t>
  </si>
  <si>
    <t>SW Dallas</t>
  </si>
  <si>
    <t>SW South Texas</t>
  </si>
  <si>
    <t>SW Memphis</t>
  </si>
  <si>
    <t>MT Louisville</t>
  </si>
  <si>
    <t>MW Cincinnati</t>
  </si>
  <si>
    <t>SW New Orleans</t>
  </si>
  <si>
    <t>SW Oklahoma</t>
  </si>
  <si>
    <t>SE Florida Central</t>
  </si>
  <si>
    <t>MT Omaha</t>
  </si>
  <si>
    <t>WE Albuquerque</t>
  </si>
  <si>
    <t>ATF Inspection: Perfect</t>
  </si>
  <si>
    <t>ATF Inspection: In Progress</t>
  </si>
  <si>
    <t>4473 Error: Prohibitive</t>
  </si>
  <si>
    <t>4473 Error: Non-Prohibitive</t>
  </si>
  <si>
    <t>Straw Purchase: Successful</t>
  </si>
  <si>
    <t>Straw Purchase: Unsuccessful</t>
  </si>
  <si>
    <t>True Runner</t>
  </si>
  <si>
    <t>ATF Inspection: Imperfect</t>
  </si>
  <si>
    <t>SW Nashville</t>
  </si>
  <si>
    <t>WE Kansas</t>
  </si>
  <si>
    <t>WE Central Valley</t>
  </si>
  <si>
    <t>SE Atlanta East</t>
  </si>
  <si>
    <t>SE Atlanta West</t>
  </si>
  <si>
    <t>MA Charlotte</t>
  </si>
  <si>
    <t>MA Greensboro</t>
  </si>
  <si>
    <t>MA Northern Virginia</t>
  </si>
  <si>
    <t>MA Richmond</t>
  </si>
  <si>
    <t>NE New Jersey Central</t>
  </si>
  <si>
    <t>OV Central New York</t>
  </si>
  <si>
    <t>OV Central PA</t>
  </si>
  <si>
    <t>OV Cleveland</t>
  </si>
  <si>
    <t>OV Western New York</t>
  </si>
  <si>
    <t>SE Raleigh</t>
  </si>
  <si>
    <t>SE South Carolina</t>
  </si>
  <si>
    <t>SW Alabama</t>
  </si>
  <si>
    <t>SW Knoxville</t>
  </si>
  <si>
    <t>Ohio Valley</t>
  </si>
  <si>
    <t>F&amp;S Cranberry</t>
  </si>
  <si>
    <t>F&amp;S Crescent Springs</t>
  </si>
  <si>
    <t>F&amp;S Erie</t>
  </si>
  <si>
    <t>F&amp;S</t>
  </si>
  <si>
    <t>OV Eastern PA</t>
  </si>
  <si>
    <t>OV Pittsburgh North</t>
  </si>
  <si>
    <t>OV Pittsburgh South</t>
  </si>
  <si>
    <t>SE  Carolina Coastal</t>
  </si>
  <si>
    <t>District</t>
  </si>
  <si>
    <t>Critical Incidents</t>
  </si>
  <si>
    <t>Incident Type</t>
  </si>
  <si>
    <t>CaseNo</t>
  </si>
  <si>
    <t>CaseType</t>
  </si>
  <si>
    <t>TotalStolen</t>
  </si>
  <si>
    <t>ActionTaken</t>
  </si>
  <si>
    <t>Terminated - Released</t>
  </si>
  <si>
    <t>Prosecuted</t>
  </si>
  <si>
    <t>Gift/Merchandise Card Fraud</t>
  </si>
  <si>
    <t>Total $</t>
  </si>
  <si>
    <t>Name</t>
  </si>
  <si>
    <t>Chain</t>
  </si>
  <si>
    <t>Zone</t>
  </si>
  <si>
    <t>Cranberry</t>
  </si>
  <si>
    <t>Cary</t>
  </si>
  <si>
    <t>Erie</t>
  </si>
  <si>
    <t>Crescent Springs</t>
  </si>
  <si>
    <t>Horseheads</t>
  </si>
  <si>
    <t>Rochester</t>
  </si>
  <si>
    <t>Columbus (Easton)</t>
  </si>
  <si>
    <t>Altoona</t>
  </si>
  <si>
    <t>Washington</t>
  </si>
  <si>
    <t>Miamisburg</t>
  </si>
  <si>
    <t>White Marsh</t>
  </si>
  <si>
    <t>DSG</t>
  </si>
  <si>
    <t>East</t>
  </si>
  <si>
    <t>Baltimore</t>
  </si>
  <si>
    <t>Hunt Valley</t>
  </si>
  <si>
    <t>Columbia</t>
  </si>
  <si>
    <t>Bel Air</t>
  </si>
  <si>
    <t>Hagerstown</t>
  </si>
  <si>
    <t>Frederick</t>
  </si>
  <si>
    <t>Westminster</t>
  </si>
  <si>
    <t>Glen Burnie</t>
  </si>
  <si>
    <t>Crofton</t>
  </si>
  <si>
    <t>Martinsburg</t>
  </si>
  <si>
    <t>Towson</t>
  </si>
  <si>
    <t>Manassas</t>
  </si>
  <si>
    <t>District of Columbia</t>
  </si>
  <si>
    <t>Dulles Town Ctr</t>
  </si>
  <si>
    <t>Bailey's Crossroad</t>
  </si>
  <si>
    <t>Fairfax</t>
  </si>
  <si>
    <t>Washingtonian</t>
  </si>
  <si>
    <t>Gainesville</t>
  </si>
  <si>
    <t>Wheaton</t>
  </si>
  <si>
    <t>Springfield</t>
  </si>
  <si>
    <t>Culpeper</t>
  </si>
  <si>
    <t>Arcola</t>
  </si>
  <si>
    <t>Rockville</t>
  </si>
  <si>
    <t>Lynchburg</t>
  </si>
  <si>
    <t>Greensboro</t>
  </si>
  <si>
    <t>Roanoke</t>
  </si>
  <si>
    <t>Winston Salem</t>
  </si>
  <si>
    <t>Durham</t>
  </si>
  <si>
    <t>Raleigh</t>
  </si>
  <si>
    <t>Christiansburg</t>
  </si>
  <si>
    <t>Danville</t>
  </si>
  <si>
    <t>Burlington, NC</t>
  </si>
  <si>
    <t>Brandywine</t>
  </si>
  <si>
    <t>New Jersey South</t>
  </si>
  <si>
    <t>Christiana</t>
  </si>
  <si>
    <t>Moorestown</t>
  </si>
  <si>
    <t>Atlantic City</t>
  </si>
  <si>
    <t>Deptford</t>
  </si>
  <si>
    <t>Cherry Hill</t>
  </si>
  <si>
    <t>Salisbury</t>
  </si>
  <si>
    <t>Millville</t>
  </si>
  <si>
    <t>Dover</t>
  </si>
  <si>
    <t>Easton</t>
  </si>
  <si>
    <t>Mount Laurel</t>
  </si>
  <si>
    <t>Glen Allen</t>
  </si>
  <si>
    <t>Northern VA</t>
  </si>
  <si>
    <t>Charlottesville</t>
  </si>
  <si>
    <t>Waldorf</t>
  </si>
  <si>
    <t>Fredericksburg</t>
  </si>
  <si>
    <t>Dale City</t>
  </si>
  <si>
    <t>Lexington Park</t>
  </si>
  <si>
    <t>S. Fredericksburg</t>
  </si>
  <si>
    <t>Harrisonburg</t>
  </si>
  <si>
    <t>Franklin Mills</t>
  </si>
  <si>
    <t>Philadelphia</t>
  </si>
  <si>
    <t>Oxford Valley</t>
  </si>
  <si>
    <t>Exton</t>
  </si>
  <si>
    <t>Willow Grove</t>
  </si>
  <si>
    <t>Plymouth Meeting</t>
  </si>
  <si>
    <t>Collegeville</t>
  </si>
  <si>
    <t>Montgomeryville</t>
  </si>
  <si>
    <t>King of Prussia</t>
  </si>
  <si>
    <t>Devon</t>
  </si>
  <si>
    <t>Fayetteville</t>
  </si>
  <si>
    <t>N.E. Raleigh</t>
  </si>
  <si>
    <t>Garner</t>
  </si>
  <si>
    <t>Apex</t>
  </si>
  <si>
    <t>Aberdeen</t>
  </si>
  <si>
    <t>Knightdale</t>
  </si>
  <si>
    <t>Holly Springs</t>
  </si>
  <si>
    <t>Morehead City</t>
  </si>
  <si>
    <t>Greenville</t>
  </si>
  <si>
    <t>Goldsboro</t>
  </si>
  <si>
    <t>Cary (Parkside)</t>
  </si>
  <si>
    <t>Midlothian</t>
  </si>
  <si>
    <t>Richmond</t>
  </si>
  <si>
    <t>Short Pump</t>
  </si>
  <si>
    <t>Lynnhaven</t>
  </si>
  <si>
    <t>Newport News</t>
  </si>
  <si>
    <t>Williamsburg</t>
  </si>
  <si>
    <t>Virginia Beach</t>
  </si>
  <si>
    <t>Suffolk</t>
  </si>
  <si>
    <t>West Chesterfield</t>
  </si>
  <si>
    <t>Colonial Heights</t>
  </si>
  <si>
    <t>Rockford</t>
  </si>
  <si>
    <t>Chicago North</t>
  </si>
  <si>
    <t>Arlington Heights</t>
  </si>
  <si>
    <t>Bloomingdale</t>
  </si>
  <si>
    <t>McHenry</t>
  </si>
  <si>
    <t>Deer Park</t>
  </si>
  <si>
    <t>Schaumburg</t>
  </si>
  <si>
    <t>Niles</t>
  </si>
  <si>
    <t>Glenview</t>
  </si>
  <si>
    <t>Algonquin</t>
  </si>
  <si>
    <t>Vernon Hills</t>
  </si>
  <si>
    <t>Downers Grove</t>
  </si>
  <si>
    <t>Skokie</t>
  </si>
  <si>
    <t>Merrillville</t>
  </si>
  <si>
    <t>Chicago South</t>
  </si>
  <si>
    <t>Oswego</t>
  </si>
  <si>
    <t>Tinley Park</t>
  </si>
  <si>
    <t>Lombard</t>
  </si>
  <si>
    <t>Geneva</t>
  </si>
  <si>
    <t>Orland Park</t>
  </si>
  <si>
    <t>Naperville</t>
  </si>
  <si>
    <t>Bradley</t>
  </si>
  <si>
    <t>Yorkville</t>
  </si>
  <si>
    <t>Highland</t>
  </si>
  <si>
    <t>Chicago</t>
  </si>
  <si>
    <t>Florence KY</t>
  </si>
  <si>
    <t>Cincinnati</t>
  </si>
  <si>
    <t>Eastgate</t>
  </si>
  <si>
    <t>Tri-County</t>
  </si>
  <si>
    <t>Kenwood</t>
  </si>
  <si>
    <t>Western Hills</t>
  </si>
  <si>
    <t>Colerain</t>
  </si>
  <si>
    <t>Fields Ertel</t>
  </si>
  <si>
    <t>Hamilton</t>
  </si>
  <si>
    <t>Beavercreek</t>
  </si>
  <si>
    <t>Huber Heights</t>
  </si>
  <si>
    <t>Miamisburg (#68 relo)</t>
  </si>
  <si>
    <t>Newport</t>
  </si>
  <si>
    <t>Tri County</t>
  </si>
  <si>
    <t>Mansfield</t>
  </si>
  <si>
    <t>Columbus</t>
  </si>
  <si>
    <t>Polaris</t>
  </si>
  <si>
    <t>Grove City</t>
  </si>
  <si>
    <t>Hilliard</t>
  </si>
  <si>
    <t>Dublin</t>
  </si>
  <si>
    <t>Lancaster</t>
  </si>
  <si>
    <t>Heath</t>
  </si>
  <si>
    <t>Easton (#410 relo)</t>
  </si>
  <si>
    <t>Tuttle Crossing</t>
  </si>
  <si>
    <t>Oakland</t>
  </si>
  <si>
    <t>Detroit</t>
  </si>
  <si>
    <t>Utica</t>
  </si>
  <si>
    <t>Rochester Hills</t>
  </si>
  <si>
    <t>Saginaw</t>
  </si>
  <si>
    <t>Northville</t>
  </si>
  <si>
    <t>Chesterfield</t>
  </si>
  <si>
    <t>Fountain Walk</t>
  </si>
  <si>
    <t>Port Huron</t>
  </si>
  <si>
    <t>Bloomfield</t>
  </si>
  <si>
    <t>Roseville</t>
  </si>
  <si>
    <t>Avon</t>
  </si>
  <si>
    <t>Indianapolis</t>
  </si>
  <si>
    <t>Greenwood</t>
  </si>
  <si>
    <t>Carmel</t>
  </si>
  <si>
    <t>Washington Square</t>
  </si>
  <si>
    <t>Lafayette</t>
  </si>
  <si>
    <t>Bloomington</t>
  </si>
  <si>
    <t>Plainfield</t>
  </si>
  <si>
    <t>Castleton</t>
  </si>
  <si>
    <t>Trader's Point</t>
  </si>
  <si>
    <t>Noblesville</t>
  </si>
  <si>
    <t>Muncie</t>
  </si>
  <si>
    <t>Castleton (#3013 relo)</t>
  </si>
  <si>
    <t>Toledo</t>
  </si>
  <si>
    <t>North Toledo</t>
  </si>
  <si>
    <t>Taylor</t>
  </si>
  <si>
    <t>Brighton</t>
  </si>
  <si>
    <t>Sandusky</t>
  </si>
  <si>
    <t>Ann Arbor</t>
  </si>
  <si>
    <t>Canton</t>
  </si>
  <si>
    <t>Findlay</t>
  </si>
  <si>
    <t>Livonia (#91 relo)</t>
  </si>
  <si>
    <t>South Bend</t>
  </si>
  <si>
    <t>Western Michigan</t>
  </si>
  <si>
    <t>Lansing</t>
  </si>
  <si>
    <t>Ft Wayne South</t>
  </si>
  <si>
    <t>Ft Wayne North</t>
  </si>
  <si>
    <t>Muskegon</t>
  </si>
  <si>
    <t>E Grand Rapids</t>
  </si>
  <si>
    <t>Rivertown</t>
  </si>
  <si>
    <t>Okemos</t>
  </si>
  <si>
    <t xml:space="preserve">Portage </t>
  </si>
  <si>
    <t>Mt Pleasant</t>
  </si>
  <si>
    <t>Holland</t>
  </si>
  <si>
    <t>Grand Rapids</t>
  </si>
  <si>
    <t>Larkridge</t>
  </si>
  <si>
    <t>Denver</t>
  </si>
  <si>
    <t>Loveland</t>
  </si>
  <si>
    <t>Southwest Plaza</t>
  </si>
  <si>
    <t>Longmont</t>
  </si>
  <si>
    <t>S. Aurora</t>
  </si>
  <si>
    <t>Southglenn</t>
  </si>
  <si>
    <t>Flatiron</t>
  </si>
  <si>
    <t>Park Meadows</t>
  </si>
  <si>
    <t>Lakewood</t>
  </si>
  <si>
    <t>Aurora</t>
  </si>
  <si>
    <t>Casper, WY</t>
  </si>
  <si>
    <t>Independence</t>
  </si>
  <si>
    <t>Kansas</t>
  </si>
  <si>
    <t>Ward Parkway</t>
  </si>
  <si>
    <t>Olathe</t>
  </si>
  <si>
    <t>Zona Rosa</t>
  </si>
  <si>
    <t>Merriam</t>
  </si>
  <si>
    <t>Topeka</t>
  </si>
  <si>
    <t>Lee's Summit</t>
  </si>
  <si>
    <t>Leawood</t>
  </si>
  <si>
    <t>Manhattan</t>
  </si>
  <si>
    <t>Liberty, MO</t>
  </si>
  <si>
    <t>Lawrence</t>
  </si>
  <si>
    <t>Overland Park</t>
  </si>
  <si>
    <t>Springhurst</t>
  </si>
  <si>
    <t>Louisville</t>
  </si>
  <si>
    <t>Hurstbourne</t>
  </si>
  <si>
    <t>Lexington</t>
  </si>
  <si>
    <t>Huntington</t>
  </si>
  <si>
    <t>Fayette Mall</t>
  </si>
  <si>
    <t>Clarksville</t>
  </si>
  <si>
    <t>Oxmoor</t>
  </si>
  <si>
    <t>Ashland</t>
  </si>
  <si>
    <t>Frankfort</t>
  </si>
  <si>
    <t>Burnsville</t>
  </si>
  <si>
    <t>Minneapolis</t>
  </si>
  <si>
    <t>Maple Grove</t>
  </si>
  <si>
    <t>Rochester MN</t>
  </si>
  <si>
    <t>Woodbury</t>
  </si>
  <si>
    <t>Minnetonka</t>
  </si>
  <si>
    <t>Richfield</t>
  </si>
  <si>
    <t>Coon Rapids</t>
  </si>
  <si>
    <t>Duluth</t>
  </si>
  <si>
    <t>Sioux Falls</t>
  </si>
  <si>
    <t>Bismarck</t>
  </si>
  <si>
    <t>Plymouth</t>
  </si>
  <si>
    <t>Davenport</t>
  </si>
  <si>
    <t>Omaha</t>
  </si>
  <si>
    <t>Cedar Rapids</t>
  </si>
  <si>
    <t>Papillion NE</t>
  </si>
  <si>
    <t>Omaha II</t>
  </si>
  <si>
    <t>Waterloo</t>
  </si>
  <si>
    <t>Dubuque</t>
  </si>
  <si>
    <t>St. Joseph, MO</t>
  </si>
  <si>
    <t>West Des Moines</t>
  </si>
  <si>
    <t>Champaign</t>
  </si>
  <si>
    <t>St. Louis East</t>
  </si>
  <si>
    <t>Evansville</t>
  </si>
  <si>
    <t>Carbondale</t>
  </si>
  <si>
    <t>Peoria</t>
  </si>
  <si>
    <t>Paducah</t>
  </si>
  <si>
    <t xml:space="preserve">South County </t>
  </si>
  <si>
    <t>Fairview Heights</t>
  </si>
  <si>
    <t>Chesterfield MO</t>
  </si>
  <si>
    <t>St. Louis West</t>
  </si>
  <si>
    <t>St. Peters</t>
  </si>
  <si>
    <t>St Louis</t>
  </si>
  <si>
    <t xml:space="preserve">Columbia </t>
  </si>
  <si>
    <t>Jefferson City</t>
  </si>
  <si>
    <t>Osage Beach</t>
  </si>
  <si>
    <t>Wentzville</t>
  </si>
  <si>
    <t>Brentwood</t>
  </si>
  <si>
    <t>Appleton</t>
  </si>
  <si>
    <t>Wisconsin</t>
  </si>
  <si>
    <t>Racine</t>
  </si>
  <si>
    <t>East Madison</t>
  </si>
  <si>
    <t>West Madison</t>
  </si>
  <si>
    <t xml:space="preserve">Green Bay </t>
  </si>
  <si>
    <t xml:space="preserve">Grafton </t>
  </si>
  <si>
    <t>Kenosha</t>
  </si>
  <si>
    <t>Wauwatosa</t>
  </si>
  <si>
    <t>LaCrosse</t>
  </si>
  <si>
    <t>Greenfield</t>
  </si>
  <si>
    <t>Brookfield</t>
  </si>
  <si>
    <t>Latham</t>
  </si>
  <si>
    <t>Albany</t>
  </si>
  <si>
    <t>Saratoga</t>
  </si>
  <si>
    <t>Burlington</t>
  </si>
  <si>
    <t>Plattsburgh</t>
  </si>
  <si>
    <t>Glens Falls</t>
  </si>
  <si>
    <t>Rutland</t>
  </si>
  <si>
    <t>Oneonta</t>
  </si>
  <si>
    <t>Worcester</t>
  </si>
  <si>
    <t>Boston</t>
  </si>
  <si>
    <t>Millbury</t>
  </si>
  <si>
    <t>Leominster</t>
  </si>
  <si>
    <t>Brockton</t>
  </si>
  <si>
    <t>Saugus</t>
  </si>
  <si>
    <t>Natick</t>
  </si>
  <si>
    <t>Dedham</t>
  </si>
  <si>
    <t>Hanover, MA</t>
  </si>
  <si>
    <t>Northborough</t>
  </si>
  <si>
    <t>Newington</t>
  </si>
  <si>
    <t>Hartford</t>
  </si>
  <si>
    <t>Enfield</t>
  </si>
  <si>
    <t>Meriden</t>
  </si>
  <si>
    <t>Hadley</t>
  </si>
  <si>
    <t>Plainville</t>
  </si>
  <si>
    <t>Pittsfield</t>
  </si>
  <si>
    <t>Milford</t>
  </si>
  <si>
    <t>Buckland Hills</t>
  </si>
  <si>
    <t>Lake Grove</t>
  </si>
  <si>
    <t>Metro New York</t>
  </si>
  <si>
    <t>Roosevelt</t>
  </si>
  <si>
    <t>Danbury</t>
  </si>
  <si>
    <t>Yonkers</t>
  </si>
  <si>
    <t>White Plains</t>
  </si>
  <si>
    <t>Commack</t>
  </si>
  <si>
    <t>Riverhead</t>
  </si>
  <si>
    <t>Patchogue</t>
  </si>
  <si>
    <t>Westbury</t>
  </si>
  <si>
    <t>Portland</t>
  </si>
  <si>
    <t>New England</t>
  </si>
  <si>
    <t>Keene</t>
  </si>
  <si>
    <t>Bangor</t>
  </si>
  <si>
    <t>Augusta</t>
  </si>
  <si>
    <t>Concord</t>
  </si>
  <si>
    <t>Topsham</t>
  </si>
  <si>
    <t>Danvers</t>
  </si>
  <si>
    <t>Nashua</t>
  </si>
  <si>
    <t>Seabrook</t>
  </si>
  <si>
    <t>New Jersey Central</t>
  </si>
  <si>
    <t>Princeton</t>
  </si>
  <si>
    <t>Brick</t>
  </si>
  <si>
    <t>Freehold</t>
  </si>
  <si>
    <t>Woodbridge</t>
  </si>
  <si>
    <t>Manahawkin</t>
  </si>
  <si>
    <t>South Plainfield</t>
  </si>
  <si>
    <t>East Brunswick</t>
  </si>
  <si>
    <t>New Jersey North</t>
  </si>
  <si>
    <t>East Hanover</t>
  </si>
  <si>
    <t>Rockaway</t>
  </si>
  <si>
    <t>Wayne</t>
  </si>
  <si>
    <t>Staten Island</t>
  </si>
  <si>
    <t xml:space="preserve">Paramus, NJ </t>
  </si>
  <si>
    <t>Union, NJ</t>
  </si>
  <si>
    <t>West Nyack</t>
  </si>
  <si>
    <t>Paramus</t>
  </si>
  <si>
    <t>Waterford</t>
  </si>
  <si>
    <t>Rhode Island</t>
  </si>
  <si>
    <t>North Attleboro</t>
  </si>
  <si>
    <t>Warwick</t>
  </si>
  <si>
    <t>Smithfield</t>
  </si>
  <si>
    <t>Seekonk</t>
  </si>
  <si>
    <t>North Dartmouth</t>
  </si>
  <si>
    <t>Taunton</t>
  </si>
  <si>
    <t>Lisbon, CT</t>
  </si>
  <si>
    <t>Binghamton</t>
  </si>
  <si>
    <t>Central New York</t>
  </si>
  <si>
    <t>Vestal</t>
  </si>
  <si>
    <t>Dewitt</t>
  </si>
  <si>
    <t>Great Northern</t>
  </si>
  <si>
    <t>Ithaca</t>
  </si>
  <si>
    <t>Watertown</t>
  </si>
  <si>
    <t>Auburn</t>
  </si>
  <si>
    <t>Sangertown</t>
  </si>
  <si>
    <t>Elmira</t>
  </si>
  <si>
    <t>Syracuse</t>
  </si>
  <si>
    <t>Reading</t>
  </si>
  <si>
    <t>Central PA</t>
  </si>
  <si>
    <t>York</t>
  </si>
  <si>
    <t>West Harrisburg</t>
  </si>
  <si>
    <t>East Harrisburg</t>
  </si>
  <si>
    <t>State College</t>
  </si>
  <si>
    <t>East York</t>
  </si>
  <si>
    <t>Williamsport</t>
  </si>
  <si>
    <t>Hanover</t>
  </si>
  <si>
    <t>Selinsgrove</t>
  </si>
  <si>
    <t>Montrose</t>
  </si>
  <si>
    <t>Cleveland</t>
  </si>
  <si>
    <t>Canton Commons</t>
  </si>
  <si>
    <t>Highland Heights</t>
  </si>
  <si>
    <t>Elyria</t>
  </si>
  <si>
    <t>Bainbridge</t>
  </si>
  <si>
    <t>Westlake</t>
  </si>
  <si>
    <t>Parma</t>
  </si>
  <si>
    <t>Strongsville</t>
  </si>
  <si>
    <t>Lyndhurst</t>
  </si>
  <si>
    <t>North Olsted</t>
  </si>
  <si>
    <t>Mentor (#60 relo)</t>
  </si>
  <si>
    <t>Cuyahoga Falls (relo of #36)</t>
  </si>
  <si>
    <t>Parma (#192 relo)</t>
  </si>
  <si>
    <t>Mayfield Heights</t>
  </si>
  <si>
    <t>North Olmstead</t>
  </si>
  <si>
    <t>Akron</t>
  </si>
  <si>
    <t>Wilkes-Barre</t>
  </si>
  <si>
    <t>Eastern PA</t>
  </si>
  <si>
    <t>Scranton</t>
  </si>
  <si>
    <t>Middletown</t>
  </si>
  <si>
    <t>Poughkeepsie</t>
  </si>
  <si>
    <t>Kingston</t>
  </si>
  <si>
    <t>Allentown</t>
  </si>
  <si>
    <t>Pottstown</t>
  </si>
  <si>
    <t>Stroudsburg</t>
  </si>
  <si>
    <t>Robinson</t>
  </si>
  <si>
    <t>Pittsburgh North</t>
  </si>
  <si>
    <t>Pittsburgh Mills</t>
  </si>
  <si>
    <t>Steubenville</t>
  </si>
  <si>
    <t>Butler</t>
  </si>
  <si>
    <t>Beaver</t>
  </si>
  <si>
    <t>Boardman (#67 relo)</t>
  </si>
  <si>
    <t>Cranberry (#44 relo)</t>
  </si>
  <si>
    <t>Monroeville (#45 relo)</t>
  </si>
  <si>
    <t>McCandless (#41 relo)</t>
  </si>
  <si>
    <t>Pittsburgh South</t>
  </si>
  <si>
    <t>Charleston</t>
  </si>
  <si>
    <t>Greensburg</t>
  </si>
  <si>
    <t>Homestead</t>
  </si>
  <si>
    <t>Clarksburg</t>
  </si>
  <si>
    <t>West Mifflin</t>
  </si>
  <si>
    <t>Morgantown</t>
  </si>
  <si>
    <t>South Hills (#43 relo)</t>
  </si>
  <si>
    <t>Beckley, WV</t>
  </si>
  <si>
    <t>Greece</t>
  </si>
  <si>
    <t>Western New York</t>
  </si>
  <si>
    <t>Amherst</t>
  </si>
  <si>
    <t>Transit Road</t>
  </si>
  <si>
    <t>Victor</t>
  </si>
  <si>
    <t>Webster</t>
  </si>
  <si>
    <t>Walden Galleria</t>
  </si>
  <si>
    <t>Marketplace</t>
  </si>
  <si>
    <t>Orchard Park</t>
  </si>
  <si>
    <t>Batavia</t>
  </si>
  <si>
    <t>Buffalo</t>
  </si>
  <si>
    <t>Newnan</t>
  </si>
  <si>
    <t>Atlanta East</t>
  </si>
  <si>
    <t>McDonough</t>
  </si>
  <si>
    <t>Lenox</t>
  </si>
  <si>
    <t>North Macon</t>
  </si>
  <si>
    <t>Loganville</t>
  </si>
  <si>
    <t>Athens</t>
  </si>
  <si>
    <t>Atlanta West</t>
  </si>
  <si>
    <t>Cumming</t>
  </si>
  <si>
    <t>Alpharetta</t>
  </si>
  <si>
    <t>Town Center</t>
  </si>
  <si>
    <t>Mall of Georgia</t>
  </si>
  <si>
    <t>Norcross</t>
  </si>
  <si>
    <t>University</t>
  </si>
  <si>
    <t>Charlotte</t>
  </si>
  <si>
    <t>Hickory</t>
  </si>
  <si>
    <t>Matthews</t>
  </si>
  <si>
    <t>Pineville</t>
  </si>
  <si>
    <t>Huntersville</t>
  </si>
  <si>
    <t>Mooresville</t>
  </si>
  <si>
    <t>Northlake</t>
  </si>
  <si>
    <t>Gastonia</t>
  </si>
  <si>
    <t>North Chalotte</t>
  </si>
  <si>
    <t>Myrtle Beach</t>
  </si>
  <si>
    <t>Coastal Carolina</t>
  </si>
  <si>
    <t>Wilmington</t>
  </si>
  <si>
    <t>Jacksonville</t>
  </si>
  <si>
    <t>Summerville SC</t>
  </si>
  <si>
    <t>Bluffton</t>
  </si>
  <si>
    <t>Savannah</t>
  </si>
  <si>
    <t>North Myrtle Beach</t>
  </si>
  <si>
    <t>North Wilmington</t>
  </si>
  <si>
    <t>Brandon</t>
  </si>
  <si>
    <t>Florida Central</t>
  </si>
  <si>
    <t>Citrus Park</t>
  </si>
  <si>
    <t>Wesley Chapel</t>
  </si>
  <si>
    <t>Bradenton</t>
  </si>
  <si>
    <t>Clearwater</t>
  </si>
  <si>
    <t>Millenia</t>
  </si>
  <si>
    <t>SW Orlando</t>
  </si>
  <si>
    <t>Lakeland</t>
  </si>
  <si>
    <t>Tampa</t>
  </si>
  <si>
    <t>Clermont</t>
  </si>
  <si>
    <t>Spring Hill</t>
  </si>
  <si>
    <t>Orlando</t>
  </si>
  <si>
    <t>Florida North</t>
  </si>
  <si>
    <t>Orange Park</t>
  </si>
  <si>
    <t>Melbourne</t>
  </si>
  <si>
    <t>Ocala</t>
  </si>
  <si>
    <t>Sanford</t>
  </si>
  <si>
    <t>Waterford Lakes</t>
  </si>
  <si>
    <t>Brunswick</t>
  </si>
  <si>
    <t>Daytona Beach</t>
  </si>
  <si>
    <t>North Jacksonville</t>
  </si>
  <si>
    <t>Plantation</t>
  </si>
  <si>
    <t>Florida South</t>
  </si>
  <si>
    <t>Pembroke Pines</t>
  </si>
  <si>
    <t>Boynton Beach</t>
  </si>
  <si>
    <t>South Fort Myers</t>
  </si>
  <si>
    <t>Wellington</t>
  </si>
  <si>
    <t>Fort Lauderdale</t>
  </si>
  <si>
    <t>Kendall</t>
  </si>
  <si>
    <t>Fort Myers</t>
  </si>
  <si>
    <t>Coral Springs</t>
  </si>
  <si>
    <t>Naples</t>
  </si>
  <si>
    <t>Spartansburg</t>
  </si>
  <si>
    <t>South Carolina</t>
  </si>
  <si>
    <t>Columbia SC</t>
  </si>
  <si>
    <t>Florence SC</t>
  </si>
  <si>
    <t>Augusta GA</t>
  </si>
  <si>
    <t>Rock Hill</t>
  </si>
  <si>
    <t>Anderson</t>
  </si>
  <si>
    <t>NE Columbia</t>
  </si>
  <si>
    <t>Columbus Park</t>
  </si>
  <si>
    <t>Alabama</t>
  </si>
  <si>
    <t>Birmingham</t>
  </si>
  <si>
    <t>Dothan</t>
  </si>
  <si>
    <t>Montgomery</t>
  </si>
  <si>
    <t>Oxford</t>
  </si>
  <si>
    <t>Hoover</t>
  </si>
  <si>
    <t>Daphne,AL</t>
  </si>
  <si>
    <t>Opelika</t>
  </si>
  <si>
    <t>Pensacola</t>
  </si>
  <si>
    <t>Panama City Beach</t>
  </si>
  <si>
    <t>Alabaster</t>
  </si>
  <si>
    <t>Tallahassee</t>
  </si>
  <si>
    <t>Flower Mound</t>
  </si>
  <si>
    <t>Dallas</t>
  </si>
  <si>
    <t>Hurst</t>
  </si>
  <si>
    <t>Rockwall</t>
  </si>
  <si>
    <t>Garland</t>
  </si>
  <si>
    <t>Galleria</t>
  </si>
  <si>
    <t>Stonebriar</t>
  </si>
  <si>
    <t>Arlington</t>
  </si>
  <si>
    <t>Park Lane</t>
  </si>
  <si>
    <t>Cedar Hill</t>
  </si>
  <si>
    <t>Alliance</t>
  </si>
  <si>
    <t>Allen</t>
  </si>
  <si>
    <t>Irving</t>
  </si>
  <si>
    <t>Northpark</t>
  </si>
  <si>
    <t>Grapevine</t>
  </si>
  <si>
    <t>Knoxville</t>
  </si>
  <si>
    <t>Chattanooga</t>
  </si>
  <si>
    <t>Asheville</t>
  </si>
  <si>
    <t>Johnson City</t>
  </si>
  <si>
    <t>Kingsport</t>
  </si>
  <si>
    <t>Alcoa</t>
  </si>
  <si>
    <t>South Ashville</t>
  </si>
  <si>
    <t>Morganton</t>
  </si>
  <si>
    <t>Cordova</t>
  </si>
  <si>
    <t>Memphis</t>
  </si>
  <si>
    <t>Flowood</t>
  </si>
  <si>
    <t>Conway, AR</t>
  </si>
  <si>
    <t>Hot Springs</t>
  </si>
  <si>
    <t>Tupelo</t>
  </si>
  <si>
    <t>Jackson</t>
  </si>
  <si>
    <t>Madison</t>
  </si>
  <si>
    <t>Hattiesburg</t>
  </si>
  <si>
    <t>Columbus, MS</t>
  </si>
  <si>
    <t>Huntsville</t>
  </si>
  <si>
    <t>Nashville</t>
  </si>
  <si>
    <t>Florence AL</t>
  </si>
  <si>
    <t>Mt Juliet</t>
  </si>
  <si>
    <t>Cool Springs</t>
  </si>
  <si>
    <t>W Nashville</t>
  </si>
  <si>
    <t>Murfreesboro</t>
  </si>
  <si>
    <t>Rivergate</t>
  </si>
  <si>
    <t xml:space="preserve">Clarksville </t>
  </si>
  <si>
    <t>East Huntsville</t>
  </si>
  <si>
    <t>Bowling Green</t>
  </si>
  <si>
    <t>Shreveport, LA</t>
  </si>
  <si>
    <t>New Orleans</t>
  </si>
  <si>
    <t>Baton Rouge</t>
  </si>
  <si>
    <t>Metairie</t>
  </si>
  <si>
    <t>D'Ilberville</t>
  </si>
  <si>
    <t>Monroe, LA</t>
  </si>
  <si>
    <t>Slidell</t>
  </si>
  <si>
    <t>Gretna</t>
  </si>
  <si>
    <t>Lake Charles</t>
  </si>
  <si>
    <t>Ft. Smith</t>
  </si>
  <si>
    <t>Oklahoma</t>
  </si>
  <si>
    <t>Tulsa Hills</t>
  </si>
  <si>
    <t>Woodland Hills</t>
  </si>
  <si>
    <t>Broken Arrow</t>
  </si>
  <si>
    <t>South Oklahoma City</t>
  </si>
  <si>
    <t>Moore</t>
  </si>
  <si>
    <t>Oklahoma City</t>
  </si>
  <si>
    <t>Midwest City</t>
  </si>
  <si>
    <t>Lawton</t>
  </si>
  <si>
    <t>Tulsa</t>
  </si>
  <si>
    <t>Austin</t>
  </si>
  <si>
    <t>South Texas</t>
  </si>
  <si>
    <t>San Antonio (The Rim)</t>
  </si>
  <si>
    <t>San Antonio (Alamo)</t>
  </si>
  <si>
    <t>Harker Hts</t>
  </si>
  <si>
    <t>Bee Caves</t>
  </si>
  <si>
    <t>Pflugerville</t>
  </si>
  <si>
    <t>New Braunfels</t>
  </si>
  <si>
    <t xml:space="preserve">Corpus Christi </t>
  </si>
  <si>
    <t>South San Antonio</t>
  </si>
  <si>
    <t>Willowbrook</t>
  </si>
  <si>
    <t>San Antonio</t>
  </si>
  <si>
    <t>Woodlands</t>
  </si>
  <si>
    <t>West Wichita</t>
  </si>
  <si>
    <t>Albuquerque</t>
  </si>
  <si>
    <t>East Wichita</t>
  </si>
  <si>
    <t>Chapel Hills CO</t>
  </si>
  <si>
    <t>Colorado Springs</t>
  </si>
  <si>
    <t xml:space="preserve">El Paso </t>
  </si>
  <si>
    <t>Las Cruces</t>
  </si>
  <si>
    <t>Salina</t>
  </si>
  <si>
    <t>Garden City</t>
  </si>
  <si>
    <t>Fresno</t>
  </si>
  <si>
    <t>Central Valley</t>
  </si>
  <si>
    <t>Clovis</t>
  </si>
  <si>
    <t>Modesto</t>
  </si>
  <si>
    <t>Bakersfield</t>
  </si>
  <si>
    <t>Santa Clarita</t>
  </si>
  <si>
    <t>San Luis Obispo</t>
  </si>
  <si>
    <t>Visalia</t>
  </si>
  <si>
    <t>Salinas</t>
  </si>
  <si>
    <t>Palmdale</t>
  </si>
  <si>
    <t>Turlock</t>
  </si>
  <si>
    <t>West Covina</t>
  </si>
  <si>
    <t>Los Angeles North</t>
  </si>
  <si>
    <t>Upland Colonies</t>
  </si>
  <si>
    <t>El Segundo</t>
  </si>
  <si>
    <t>Chino</t>
  </si>
  <si>
    <t>Murrieta</t>
  </si>
  <si>
    <t>Moorpark</t>
  </si>
  <si>
    <t>Yorba Linda</t>
  </si>
  <si>
    <t>Pasadena</t>
  </si>
  <si>
    <t>Oxnard</t>
  </si>
  <si>
    <t>Victorville</t>
  </si>
  <si>
    <t>Escondido</t>
  </si>
  <si>
    <t>Los Angeles South</t>
  </si>
  <si>
    <t>El Cajon</t>
  </si>
  <si>
    <t xml:space="preserve">Laguna </t>
  </si>
  <si>
    <t>Tustin</t>
  </si>
  <si>
    <t>Oceanside</t>
  </si>
  <si>
    <t>Ladera Ranch</t>
  </si>
  <si>
    <t xml:space="preserve">Fashion Island </t>
  </si>
  <si>
    <t>Huntington Beach</t>
  </si>
  <si>
    <t>San Diego</t>
  </si>
  <si>
    <t>Palm Desert</t>
  </si>
  <si>
    <t>Carmel Mountain</t>
  </si>
  <si>
    <t>Redding</t>
  </si>
  <si>
    <t>Northern California</t>
  </si>
  <si>
    <t>Petaluma</t>
  </si>
  <si>
    <t>Santa Rosa</t>
  </si>
  <si>
    <t>Pleasant Hill</t>
  </si>
  <si>
    <t>Chico</t>
  </si>
  <si>
    <t>Daly City</t>
  </si>
  <si>
    <t>Fremont</t>
  </si>
  <si>
    <t>Stockton</t>
  </si>
  <si>
    <t>Sacramento</t>
  </si>
  <si>
    <t>Northwest</t>
  </si>
  <si>
    <t xml:space="preserve">Hillsboro </t>
  </si>
  <si>
    <t>Eugene</t>
  </si>
  <si>
    <t>Salem</t>
  </si>
  <si>
    <t>Lake Oswego</t>
  </si>
  <si>
    <t>Bend</t>
  </si>
  <si>
    <t>Gresham</t>
  </si>
  <si>
    <t>Hayden Meadows</t>
  </si>
  <si>
    <t>Clackamas</t>
  </si>
  <si>
    <t>Meridian (Boise)</t>
  </si>
  <si>
    <t>Spokane</t>
  </si>
  <si>
    <t>Nampa</t>
  </si>
  <si>
    <t>Boise</t>
  </si>
  <si>
    <t>Tempe</t>
  </si>
  <si>
    <t>Phoenix</t>
  </si>
  <si>
    <t>Gilbert</t>
  </si>
  <si>
    <t>Glendale</t>
  </si>
  <si>
    <t>Deer Valley</t>
  </si>
  <si>
    <t>Henderson</t>
  </si>
  <si>
    <t xml:space="preserve">Mesa </t>
  </si>
  <si>
    <t>Oro Valley</t>
  </si>
  <si>
    <t>St. George</t>
  </si>
  <si>
    <t>Prescott</t>
  </si>
  <si>
    <t>Las Vegas</t>
  </si>
  <si>
    <t>Gateway</t>
  </si>
  <si>
    <t>Salt Lake City</t>
  </si>
  <si>
    <t>Renton</t>
  </si>
  <si>
    <t>Layton, UT</t>
  </si>
  <si>
    <t>Pocatello</t>
  </si>
  <si>
    <t>Puyallup</t>
  </si>
  <si>
    <t>Federal Way</t>
  </si>
  <si>
    <t>Midvale</t>
  </si>
  <si>
    <t>Orem</t>
  </si>
  <si>
    <t>Issaquah</t>
  </si>
  <si>
    <t>Case Type</t>
  </si>
  <si>
    <t>Ttl $</t>
  </si>
  <si>
    <t>Action</t>
  </si>
  <si>
    <t>Region Type</t>
  </si>
  <si>
    <t>DE</t>
  </si>
  <si>
    <t>PV</t>
  </si>
  <si>
    <t>Region DE</t>
  </si>
  <si>
    <t>Region PV</t>
  </si>
  <si>
    <t>Region Action</t>
  </si>
  <si>
    <t>Region TRUE</t>
  </si>
  <si>
    <t>Paste LPMS report in columns A-E and everything will update</t>
  </si>
  <si>
    <t>Mobile</t>
  </si>
  <si>
    <t>Hoover (Birmingham)</t>
  </si>
  <si>
    <t>Troy (Detroit)</t>
  </si>
  <si>
    <t>Winchester</t>
  </si>
  <si>
    <t>Columbus/Easton RELO 3069</t>
  </si>
  <si>
    <t>Moline</t>
  </si>
  <si>
    <t>Wooster</t>
  </si>
  <si>
    <t>Marietta</t>
  </si>
  <si>
    <t xml:space="preserve">Mt. Pleasant </t>
  </si>
  <si>
    <t>Orlando (Florida Mall)</t>
  </si>
  <si>
    <t>Tuscaloosa</t>
  </si>
  <si>
    <t>Euless</t>
  </si>
  <si>
    <t>Bristol</t>
  </si>
  <si>
    <t xml:space="preserve">Glendale </t>
  </si>
  <si>
    <t>Scottsdale (Fashion Sq)</t>
  </si>
  <si>
    <t>Las Vegas (Fashion Show)</t>
  </si>
  <si>
    <t>Twin Falls</t>
  </si>
  <si>
    <t>Pittsburgh</t>
  </si>
  <si>
    <t>Chestnut Hill</t>
  </si>
  <si>
    <t>Combo</t>
  </si>
  <si>
    <t>TR</t>
  </si>
  <si>
    <t>Shrink Tier</t>
  </si>
  <si>
    <t>Cost Shrink % (Most Recent)</t>
  </si>
  <si>
    <t>Cost Shrink Goal %</t>
  </si>
  <si>
    <t>Cost % Actual</t>
  </si>
  <si>
    <t>Cost % Goal</t>
  </si>
  <si>
    <t>Most Recent</t>
  </si>
  <si>
    <t>Current</t>
  </si>
  <si>
    <t>Y</t>
  </si>
  <si>
    <t>R</t>
  </si>
  <si>
    <t>New</t>
  </si>
  <si>
    <t>G</t>
  </si>
  <si>
    <t>N/A</t>
  </si>
  <si>
    <t>FY15 Goal</t>
  </si>
  <si>
    <t>Leesburg</t>
  </si>
  <si>
    <t>Chicago New City</t>
  </si>
  <si>
    <t>Valparaiso</t>
  </si>
  <si>
    <t>Joliet</t>
  </si>
  <si>
    <t>Cincinnati (#72 relo)</t>
  </si>
  <si>
    <t>Chillocothe</t>
  </si>
  <si>
    <t>Polaris (#259 relo)</t>
  </si>
  <si>
    <t>Columbus (#1166 rem)</t>
  </si>
  <si>
    <t>Troy (#88 relo)</t>
  </si>
  <si>
    <t>Council Bluff</t>
  </si>
  <si>
    <t>Grand Island</t>
  </si>
  <si>
    <t>Janesville</t>
  </si>
  <si>
    <t>Oshkosh</t>
  </si>
  <si>
    <t>North Haven</t>
  </si>
  <si>
    <t>Champaign (#124 relo)</t>
  </si>
  <si>
    <t>Dewitt (#3 relo)</t>
  </si>
  <si>
    <t>Chambersburg</t>
  </si>
  <si>
    <t>Uniontown</t>
  </si>
  <si>
    <t>Amherst (#11 relo)</t>
  </si>
  <si>
    <t>Orlando (East Colonial)</t>
  </si>
  <si>
    <t>Sevierville</t>
  </si>
  <si>
    <t>Cullman</t>
  </si>
  <si>
    <t>Muskogee</t>
  </si>
  <si>
    <t>Brownsville</t>
  </si>
  <si>
    <t>Farmington</t>
  </si>
  <si>
    <t>Cerritos</t>
  </si>
  <si>
    <t>Tucson</t>
  </si>
  <si>
    <t>Marysville</t>
  </si>
  <si>
    <t>Store Assessment Performance (&gt;=90% or &lt;80%)</t>
  </si>
  <si>
    <t>Theft Deterrence and Recoveries (&gt;$249)</t>
  </si>
  <si>
    <r>
      <t>External Issues/ Significant Reported Loss Incidents</t>
    </r>
    <r>
      <rPr>
        <b/>
        <sz val="16"/>
        <color theme="0"/>
        <rFont val="Calibri"/>
        <family val="2"/>
      </rPr>
      <t xml:space="preserve"> (&gt;$199)</t>
    </r>
  </si>
  <si>
    <t>Score %</t>
  </si>
  <si>
    <t>as of 6-24-15</t>
  </si>
  <si>
    <t>July 2-8, 2015</t>
  </si>
  <si>
    <t>2015 LP Audit</t>
  </si>
  <si>
    <t>2015 Golf Galaxy Audit</t>
  </si>
  <si>
    <t>Unaccounted for Firearm</t>
  </si>
  <si>
    <t>Inspection: Firearms</t>
  </si>
  <si>
    <t>Incident General (Critical Smart Alert)</t>
  </si>
  <si>
    <t>An associate who attempted to purchase a firearm committed suicide, the firearm purchase was delayed and was not transferred by the store.</t>
  </si>
  <si>
    <t>DE-15-01072-2</t>
  </si>
  <si>
    <t>Passing Merchandise</t>
  </si>
  <si>
    <t>Terminated - Prosecuted</t>
  </si>
  <si>
    <t>DE-15-01076-2</t>
  </si>
  <si>
    <t>Merchandise Theft</t>
  </si>
  <si>
    <t>DE-15-00181-1</t>
  </si>
  <si>
    <t>Unauthorized Markdowns</t>
  </si>
  <si>
    <t>Phone Interview - Terminated/Released</t>
  </si>
  <si>
    <t>DE-15-00414-2</t>
  </si>
  <si>
    <t>PV-15-00255-1</t>
  </si>
  <si>
    <t>Employee Discount Abuse</t>
  </si>
  <si>
    <t>DE-15-01083-2</t>
  </si>
  <si>
    <t>DE-15-01083-3</t>
  </si>
  <si>
    <t>DE-15-00264-1</t>
  </si>
  <si>
    <t>DE-15-00419-3</t>
  </si>
  <si>
    <t>Passing Merchandise, Merchandise Theft</t>
  </si>
  <si>
    <t>Gift Card Fraud</t>
  </si>
  <si>
    <t xml:space="preserve">Merchandise Theft, Employee Discount Abuse, Unauthorized Markdowns </t>
  </si>
  <si>
    <t>Gift Card Fraud, Unauthorized Markdowns</t>
  </si>
  <si>
    <t>A shipment of handguns is missing</t>
  </si>
  <si>
    <t>Apparel</t>
  </si>
  <si>
    <t>Two customers damaged Nike product while trying to remove the ink tags. They were deterred by exceptional customer service.</t>
  </si>
  <si>
    <t>A customer was suspected of trying to take several apparel items. He was deterred by exceptional customer service.</t>
  </si>
  <si>
    <t xml:space="preserve">A customer was witnessed concealing Pro V1 golf balls in her purse. She was deterred by exceptional customer service and was trespassed.  </t>
  </si>
  <si>
    <t>A customer was seen collecting various items from all over the store in a cart. He was deterred by exceptional customer service as he made his way to the front entrance.</t>
  </si>
  <si>
    <t>A customer purchased gift cards using a fraudulent check. The transaction was post void.</t>
  </si>
  <si>
    <t>A known customer attempted to purchase two $500 gift cards with a fraudulent check. The transaction was declined.</t>
  </si>
  <si>
    <t>A customer exited the building with what looked like apparel concealed down the leg of his pants.</t>
  </si>
  <si>
    <t>A customer walked out the front entrance with a crossbow and left in an awaiting vehicle.</t>
  </si>
  <si>
    <t>Four empty shoeboxes were discovered in footwear.</t>
  </si>
  <si>
    <t>A customer utilized the fitting room to remove sensor tags and conceal several apparel items on his person. Exceptional customer service did not work and the subject exited with the items.</t>
  </si>
  <si>
    <t>Electronics</t>
  </si>
  <si>
    <t>A customer broke a Go Pro container in order to take it without setting off the audible alarm.</t>
  </si>
  <si>
    <t>A customer cut the security cable securing a Go Pro in order to steal it.</t>
  </si>
  <si>
    <t>A customer ran out the front entrance with a previously stashed bag full of 4 pairs of footwear. She was later arrested by police and the product was recovered.</t>
  </si>
  <si>
    <t>A customer cut blister tags in order to steal six fit bits.</t>
  </si>
  <si>
    <t>A bag full of Nike product was discovered, staged by the front door.</t>
  </si>
  <si>
    <t>A customer was witnessed by in store LP cutting ink tags off various apparel product with wire snips. She dumped all the product when she noticed she was being watched.</t>
  </si>
  <si>
    <t>A customer was asked to leave the store when he was witnessed by in store LP removing ink tags and concealing lures in a backpack.</t>
  </si>
  <si>
    <t>A customer concealed 39 Nike Tee-shirts in a bag and walked out the front door with them. A police report was filed.</t>
  </si>
  <si>
    <t>A customer walked out the front entrance with four Taylor made drivers. A police report was filed.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</si>
</sst>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9">
    <numFmt numFmtId="44" formatCode="_(&quot;$&quot;* #,##0.00_);_(&quot;$&quot;* \(#,##0.00\);_(&quot;$&quot;* &quot;-&quot;??_);_(@_)"/>
    <numFmt numFmtId="43" formatCode="_(* #,##0.00_);_(* \(#,##0.00\);_(* &quot;-&quot;??_);_(@_)"/>
    <numFmt numFmtId="164" formatCode="[$-409]mmmm\ d\,\ yyyy;@"/>
    <numFmt numFmtId="165" formatCode="&quot;$&quot;#,##0.00"/>
    <numFmt numFmtId="166" formatCode="_(&quot;$&quot;* #,##0_);_(&quot;$&quot;* \(#,##0\);_(&quot;$&quot;* &quot;-&quot;??_);_(@_)"/>
    <numFmt numFmtId="167" formatCode="0.00%;\(0.00%\)"/>
    <numFmt numFmtId="168" formatCode="&quot;$&quot;#,##0;\-&quot;$&quot;#,##0"/>
    <numFmt numFmtId="169" formatCode="_([$€-2]* #,##0.00_);_([$€-2]* \(#,##0.00\);_([$€-2]* &quot;-&quot;??_)"/>
    <numFmt numFmtId="170" formatCode="0.00_)"/>
  </numFmts>
  <fonts count="35" x14ac:knownFonts="1">
    <font>
      <sz val="11"/>
      <color theme="1"/>
      <name val="Calibri"/>
      <family val="2"/>
      <scheme val="minor"/>
    </font>
    <font>
      <sz val="10"/>
      <name val="Arial"/>
      <family val="2"/>
    </font>
    <font>
      <sz val="10"/>
      <color indexed="22"/>
      <name val="Times New Roman"/>
      <family val="1"/>
    </font>
    <font>
      <sz val="12"/>
      <color indexed="22"/>
      <name val="Times New Roman"/>
      <family val="1"/>
    </font>
    <font>
      <b/>
      <sz val="14"/>
      <name val="Arial"/>
      <family val="2"/>
    </font>
    <font>
      <b/>
      <sz val="14"/>
      <color indexed="10"/>
      <name val="Arial"/>
      <family val="2"/>
    </font>
    <font>
      <sz val="12"/>
      <name val="Times New Roman"/>
      <family val="1"/>
    </font>
    <font>
      <sz val="11"/>
      <name val="Calibri"/>
      <family val="2"/>
      <scheme val="minor"/>
    </font>
    <font>
      <sz val="11"/>
      <color theme="0" tint="-0.34998626667073579"/>
      <name val="Calibri"/>
      <family val="2"/>
      <scheme val="minor"/>
    </font>
    <font>
      <sz val="11"/>
      <color theme="0" tint="-0.249977111117893"/>
      <name val="Calibri"/>
      <family val="2"/>
      <scheme val="minor"/>
    </font>
    <font>
      <sz val="12"/>
      <color theme="0" tint="-0.249977111117893"/>
      <name val="Times New Roman"/>
      <family val="1"/>
    </font>
    <font>
      <sz val="12"/>
      <color theme="1"/>
      <name val="Times New Roman"/>
      <family val="1"/>
    </font>
    <font>
      <sz val="12"/>
      <color theme="0" tint="-0.34998626667073579"/>
      <name val="Times New Roman"/>
      <family val="1"/>
    </font>
    <font>
      <b/>
      <sz val="12"/>
      <color theme="1"/>
      <name val="Times New Roman"/>
      <family val="1"/>
    </font>
    <font>
      <b/>
      <sz val="16"/>
      <color theme="0"/>
      <name val="Times New Roman"/>
      <family val="1"/>
    </font>
    <font>
      <sz val="12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6"/>
      <color theme="0"/>
      <name val="Calibri"/>
      <family val="2"/>
      <scheme val="minor"/>
    </font>
    <font>
      <b/>
      <sz val="26"/>
      <name val="Calibri"/>
      <family val="2"/>
      <scheme val="minor"/>
    </font>
    <font>
      <b/>
      <sz val="22"/>
      <name val="Calibri"/>
      <family val="2"/>
      <scheme val="minor"/>
    </font>
    <font>
      <b/>
      <sz val="18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8"/>
      <color theme="1"/>
      <name val="Calibri"/>
      <family val="2"/>
      <scheme val="minor"/>
    </font>
    <font>
      <b/>
      <sz val="16"/>
      <color theme="0"/>
      <name val="Calibri"/>
      <family val="2"/>
    </font>
    <font>
      <sz val="11"/>
      <color theme="1"/>
      <name val="Calibri"/>
      <family val="2"/>
    </font>
    <font>
      <sz val="10"/>
      <name val="MS Sans Serif"/>
      <family val="2"/>
    </font>
    <font>
      <sz val="10"/>
      <color theme="1"/>
      <name val="Arial"/>
      <family val="2"/>
    </font>
    <font>
      <b/>
      <sz val="8"/>
      <name val="Arial"/>
      <family val="2"/>
    </font>
    <font>
      <sz val="8"/>
      <name val="Arial"/>
      <family val="2"/>
    </font>
    <font>
      <sz val="10"/>
      <color indexed="8"/>
      <name val="Arial"/>
      <family val="2"/>
    </font>
    <font>
      <b/>
      <i/>
      <sz val="16"/>
      <name val="Helv"/>
    </font>
    <font>
      <sz val="11"/>
      <color theme="1"/>
      <name val="Arial"/>
      <family val="2"/>
    </font>
    <font>
      <b/>
      <sz val="10"/>
      <name val="MS Sans Serif"/>
      <family val="2"/>
    </font>
    <font>
      <b/>
      <sz val="10"/>
      <color indexed="10"/>
      <name val="Arial"/>
      <family val="2"/>
    </font>
  </fonts>
  <fills count="17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0" tint="-0.34998626667073579"/>
        <bgColor indexed="64"/>
      </patternFill>
    </fill>
    <fill>
      <patternFill patternType="solid">
        <fgColor rgb="FF356D58"/>
        <bgColor indexed="64"/>
      </patternFill>
    </fill>
    <fill>
      <patternFill patternType="solid">
        <fgColor theme="0"/>
        <bgColor theme="0"/>
      </patternFill>
    </fill>
    <fill>
      <patternFill patternType="solid">
        <fgColor theme="0" tint="-0.34998626667073579"/>
        <bgColor theme="0" tint="-0.24994659260841701"/>
      </patternFill>
    </fill>
    <fill>
      <patternFill patternType="solid">
        <fgColor theme="0" tint="-0.249977111117893"/>
        <bgColor indexed="64"/>
      </patternFill>
    </fill>
    <fill>
      <patternFill patternType="darkGray">
        <fgColor rgb="FF356D58"/>
        <bgColor theme="0"/>
      </patternFill>
    </fill>
    <fill>
      <patternFill patternType="solid">
        <fgColor theme="0" tint="-0.249977111117893"/>
        <bgColor theme="0" tint="-0.24994659260841701"/>
      </patternFill>
    </fill>
    <fill>
      <patternFill patternType="solid">
        <fgColor theme="0" tint="-0.34998626667073579"/>
        <bgColor theme="0"/>
      </patternFill>
    </fill>
    <fill>
      <patternFill patternType="solid">
        <fgColor rgb="FFFFFF00"/>
        <bgColor indexed="64"/>
      </patternFill>
    </fill>
    <fill>
      <patternFill patternType="solid">
        <fgColor indexed="22"/>
        <bgColor indexed="64"/>
      </patternFill>
    </fill>
    <fill>
      <patternFill patternType="solid">
        <fgColor indexed="9"/>
      </patternFill>
    </fill>
    <fill>
      <patternFill patternType="solid">
        <fgColor indexed="26"/>
        <bgColor indexed="64"/>
      </patternFill>
    </fill>
    <fill>
      <patternFill patternType="mediumGray">
        <fgColor indexed="22"/>
      </patternFill>
    </fill>
  </fills>
  <borders count="52">
    <border>
      <left/>
      <right/>
      <top/>
      <bottom/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/>
      <top style="thin">
        <color indexed="64"/>
      </top>
      <bottom style="double">
        <color indexed="64"/>
      </bottom>
      <diagonal/>
    </border>
    <border>
      <left style="medium">
        <color indexed="64"/>
      </left>
      <right/>
      <top style="thin">
        <color indexed="64"/>
      </top>
      <bottom style="double">
        <color indexed="64"/>
      </bottom>
      <diagonal/>
    </border>
    <border>
      <left/>
      <right/>
      <top style="thin">
        <color indexed="64"/>
      </top>
      <bottom style="double">
        <color indexed="64"/>
      </bottom>
      <diagonal/>
    </border>
    <border>
      <left/>
      <right style="medium">
        <color indexed="64"/>
      </right>
      <top style="thin">
        <color indexed="64"/>
      </top>
      <bottom style="double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</borders>
  <cellStyleXfs count="45">
    <xf numFmtId="0" fontId="0" fillId="0" borderId="0"/>
    <xf numFmtId="0" fontId="1" fillId="0" borderId="0"/>
    <xf numFmtId="0" fontId="7" fillId="0" borderId="0"/>
    <xf numFmtId="44" fontId="21" fillId="0" borderId="0" applyFont="0" applyFill="0" applyBorder="0" applyAlignment="0" applyProtection="0"/>
    <xf numFmtId="44" fontId="27" fillId="0" borderId="0" applyFont="0" applyFill="0" applyBorder="0" applyAlignment="0" applyProtection="0"/>
    <xf numFmtId="1" fontId="26" fillId="0" borderId="0"/>
    <xf numFmtId="1" fontId="26" fillId="0" borderId="0"/>
    <xf numFmtId="1" fontId="26" fillId="0" borderId="0"/>
    <xf numFmtId="0" fontId="28" fillId="0" borderId="17">
      <alignment horizontal="center"/>
    </xf>
    <xf numFmtId="43" fontId="1" fillId="0" borderId="0" applyFont="0" applyFill="0" applyBorder="0" applyAlignment="0" applyProtection="0"/>
    <xf numFmtId="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21" fillId="0" borderId="0" applyFont="0" applyFill="0" applyBorder="0" applyAlignment="0" applyProtection="0"/>
    <xf numFmtId="44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0" fontId="1" fillId="0" borderId="0" applyFont="0" applyFill="0" applyBorder="0" applyAlignment="0" applyProtection="0"/>
    <xf numFmtId="169" fontId="1" fillId="0" borderId="0" applyFont="0" applyFill="0" applyBorder="0" applyAlignment="0" applyProtection="0"/>
    <xf numFmtId="2" fontId="1" fillId="0" borderId="0" applyFont="0" applyFill="0" applyBorder="0" applyAlignment="0" applyProtection="0"/>
    <xf numFmtId="38" fontId="29" fillId="13" borderId="0" applyNumberFormat="0" applyBorder="0" applyAlignment="0" applyProtection="0"/>
    <xf numFmtId="0" fontId="30" fillId="14" borderId="3">
      <alignment horizontal="left"/>
    </xf>
    <xf numFmtId="10" fontId="29" fillId="15" borderId="3" applyNumberFormat="0" applyBorder="0" applyAlignment="0" applyProtection="0"/>
    <xf numFmtId="170" fontId="31" fillId="0" borderId="0"/>
    <xf numFmtId="0" fontId="1" fillId="0" borderId="0"/>
    <xf numFmtId="0" fontId="21" fillId="0" borderId="0"/>
    <xf numFmtId="0" fontId="26" fillId="0" borderId="0"/>
    <xf numFmtId="0" fontId="1" fillId="0" borderId="0"/>
    <xf numFmtId="0" fontId="26" fillId="0" borderId="0"/>
    <xf numFmtId="0" fontId="27" fillId="0" borderId="0"/>
    <xf numFmtId="0" fontId="32" fillId="0" borderId="0"/>
    <xf numFmtId="10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21" fillId="0" borderId="0" applyFont="0" applyFill="0" applyBorder="0" applyAlignment="0" applyProtection="0"/>
    <xf numFmtId="9" fontId="26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27" fillId="0" borderId="0" applyFont="0" applyFill="0" applyBorder="0" applyAlignment="0" applyProtection="0"/>
    <xf numFmtId="0" fontId="26" fillId="0" borderId="0" applyNumberFormat="0" applyFont="0" applyFill="0" applyBorder="0" applyAlignment="0" applyProtection="0">
      <alignment horizontal="left"/>
    </xf>
    <xf numFmtId="15" fontId="26" fillId="0" borderId="0" applyFont="0" applyFill="0" applyBorder="0" applyAlignment="0" applyProtection="0"/>
    <xf numFmtId="4" fontId="26" fillId="0" borderId="0" applyFont="0" applyFill="0" applyBorder="0" applyAlignment="0" applyProtection="0"/>
    <xf numFmtId="0" fontId="33" fillId="0" borderId="27">
      <alignment horizontal="center"/>
    </xf>
    <xf numFmtId="3" fontId="26" fillId="0" borderId="0" applyFont="0" applyFill="0" applyBorder="0" applyAlignment="0" applyProtection="0"/>
    <xf numFmtId="0" fontId="26" fillId="16" borderId="0" applyNumberFormat="0" applyFont="0" applyBorder="0" applyAlignment="0" applyProtection="0"/>
    <xf numFmtId="0" fontId="34" fillId="0" borderId="0" applyFill="0" applyBorder="0" applyProtection="0">
      <alignment horizontal="left" vertical="top"/>
    </xf>
    <xf numFmtId="0" fontId="25" fillId="0" borderId="0"/>
    <xf numFmtId="44" fontId="25" fillId="0" borderId="0" applyFont="0" applyFill="0" applyBorder="0" applyAlignment="0" applyProtection="0"/>
    <xf numFmtId="9" fontId="25" fillId="0" borderId="0" applyFont="0" applyFill="0" applyBorder="0" applyAlignment="0" applyProtection="0"/>
  </cellStyleXfs>
  <cellXfs count="218">
    <xf numFmtId="0" fontId="0" fillId="0" borderId="0" xfId="0"/>
    <xf numFmtId="0" fontId="0" fillId="0" borderId="0" xfId="0"/>
    <xf numFmtId="0" fontId="2" fillId="0" borderId="0" xfId="0" applyFont="1"/>
    <xf numFmtId="0" fontId="3" fillId="2" borderId="0" xfId="1" applyFont="1" applyFill="1" applyBorder="1" applyAlignment="1" applyProtection="1">
      <alignment horizontal="left" vertical="center"/>
      <protection locked="0"/>
    </xf>
    <xf numFmtId="0" fontId="4" fillId="0" borderId="0" xfId="0" applyFont="1" applyBorder="1" applyAlignment="1" applyProtection="1">
      <alignment horizontal="right"/>
    </xf>
    <xf numFmtId="164" fontId="5" fillId="0" borderId="0" xfId="0" applyNumberFormat="1" applyFont="1" applyBorder="1" applyAlignment="1" applyProtection="1">
      <alignment horizontal="left"/>
    </xf>
    <xf numFmtId="0" fontId="3" fillId="0" borderId="0" xfId="1" applyFont="1" applyProtection="1">
      <protection locked="0"/>
    </xf>
    <xf numFmtId="0" fontId="3" fillId="0" borderId="0" xfId="0" applyFont="1"/>
    <xf numFmtId="0" fontId="3" fillId="2" borderId="0" xfId="1" applyFont="1" applyFill="1" applyBorder="1" applyAlignment="1" applyProtection="1">
      <alignment vertical="center"/>
      <protection locked="0"/>
    </xf>
    <xf numFmtId="0" fontId="8" fillId="3" borderId="0" xfId="0" applyFont="1" applyFill="1"/>
    <xf numFmtId="0" fontId="9" fillId="0" borderId="0" xfId="0" applyFont="1"/>
    <xf numFmtId="0" fontId="10" fillId="0" borderId="0" xfId="0" applyFont="1"/>
    <xf numFmtId="0" fontId="11" fillId="0" borderId="0" xfId="0" applyFont="1"/>
    <xf numFmtId="0" fontId="10" fillId="2" borderId="0" xfId="1" applyFont="1" applyFill="1" applyBorder="1" applyAlignment="1" applyProtection="1">
      <alignment horizontal="left" vertical="center"/>
      <protection locked="0"/>
    </xf>
    <xf numFmtId="0" fontId="4" fillId="0" borderId="0" xfId="0" applyFont="1" applyBorder="1" applyAlignment="1" applyProtection="1"/>
    <xf numFmtId="0" fontId="6" fillId="2" borderId="0" xfId="1" applyFont="1" applyFill="1" applyBorder="1" applyAlignment="1" applyProtection="1">
      <alignment vertical="center"/>
      <protection locked="0"/>
    </xf>
    <xf numFmtId="0" fontId="6" fillId="0" borderId="0" xfId="1" applyFont="1" applyFill="1" applyProtection="1">
      <protection locked="0"/>
    </xf>
    <xf numFmtId="0" fontId="6" fillId="0" borderId="0" xfId="0" applyFont="1"/>
    <xf numFmtId="0" fontId="12" fillId="0" borderId="0" xfId="0" applyFont="1"/>
    <xf numFmtId="16" fontId="0" fillId="0" borderId="0" xfId="0" applyNumberFormat="1"/>
    <xf numFmtId="0" fontId="10" fillId="0" borderId="0" xfId="0" applyNumberFormat="1" applyFont="1"/>
    <xf numFmtId="0" fontId="12" fillId="0" borderId="0" xfId="0" applyNumberFormat="1" applyFont="1"/>
    <xf numFmtId="16" fontId="12" fillId="0" borderId="0" xfId="0" applyNumberFormat="1" applyFont="1"/>
    <xf numFmtId="0" fontId="8" fillId="0" borderId="0" xfId="0" applyFont="1"/>
    <xf numFmtId="0" fontId="10" fillId="2" borderId="0" xfId="1" applyFont="1" applyFill="1" applyBorder="1" applyAlignment="1" applyProtection="1">
      <alignment vertical="center"/>
      <protection locked="0"/>
    </xf>
    <xf numFmtId="0" fontId="0" fillId="0" borderId="0" xfId="0" applyAlignment="1">
      <alignment wrapText="1"/>
    </xf>
    <xf numFmtId="0" fontId="0" fillId="0" borderId="0" xfId="0"/>
    <xf numFmtId="0" fontId="0" fillId="0" borderId="0" xfId="0" applyBorder="1"/>
    <xf numFmtId="0" fontId="0" fillId="0" borderId="0" xfId="0"/>
    <xf numFmtId="0" fontId="0" fillId="0" borderId="0" xfId="0" applyBorder="1"/>
    <xf numFmtId="0" fontId="10" fillId="2" borderId="0" xfId="1" applyFont="1" applyFill="1" applyBorder="1" applyAlignment="1" applyProtection="1">
      <alignment horizontal="left" vertical="center"/>
      <protection locked="0"/>
    </xf>
    <xf numFmtId="0" fontId="0" fillId="0" borderId="0" xfId="0"/>
    <xf numFmtId="0" fontId="14" fillId="5" borderId="2" xfId="0" applyFont="1" applyFill="1" applyBorder="1" applyAlignment="1">
      <alignment horizontal="left"/>
    </xf>
    <xf numFmtId="0" fontId="14" fillId="5" borderId="1" xfId="0" applyFont="1" applyFill="1" applyBorder="1" applyAlignment="1">
      <alignment horizontal="left"/>
    </xf>
    <xf numFmtId="0" fontId="11" fillId="6" borderId="0" xfId="0" applyFont="1" applyFill="1" applyBorder="1" applyAlignment="1">
      <alignment wrapText="1"/>
    </xf>
    <xf numFmtId="0" fontId="15" fillId="0" borderId="3" xfId="0" applyFont="1" applyBorder="1" applyAlignment="1">
      <alignment horizontal="center"/>
    </xf>
    <xf numFmtId="0" fontId="15" fillId="0" borderId="8" xfId="0" applyFont="1" applyBorder="1" applyAlignment="1">
      <alignment horizontal="center"/>
    </xf>
    <xf numFmtId="0" fontId="0" fillId="0" borderId="0" xfId="0" applyFont="1" applyBorder="1" applyAlignment="1">
      <alignment horizontal="center"/>
    </xf>
    <xf numFmtId="14" fontId="15" fillId="0" borderId="3" xfId="0" applyNumberFormat="1" applyFont="1" applyBorder="1" applyAlignment="1">
      <alignment horizontal="center"/>
    </xf>
    <xf numFmtId="14" fontId="15" fillId="0" borderId="8" xfId="0" applyNumberFormat="1" applyFont="1" applyBorder="1" applyAlignment="1">
      <alignment horizontal="center"/>
    </xf>
    <xf numFmtId="0" fontId="17" fillId="5" borderId="9" xfId="0" applyFont="1" applyFill="1" applyBorder="1" applyAlignment="1">
      <alignment horizontal="left"/>
    </xf>
    <xf numFmtId="0" fontId="0" fillId="0" borderId="0" xfId="0" applyBorder="1" applyAlignment="1">
      <alignment horizontal="center"/>
    </xf>
    <xf numFmtId="14" fontId="15" fillId="0" borderId="17" xfId="0" applyNumberFormat="1" applyFont="1" applyBorder="1" applyAlignment="1">
      <alignment horizontal="center"/>
    </xf>
    <xf numFmtId="0" fontId="15" fillId="0" borderId="0" xfId="0" applyFont="1" applyBorder="1" applyAlignment="1">
      <alignment horizontal="center"/>
    </xf>
    <xf numFmtId="0" fontId="15" fillId="0" borderId="20" xfId="0" applyFont="1" applyBorder="1" applyAlignment="1">
      <alignment horizontal="center"/>
    </xf>
    <xf numFmtId="14" fontId="15" fillId="0" borderId="20" xfId="0" applyNumberFormat="1" applyFont="1" applyBorder="1" applyAlignment="1">
      <alignment horizontal="center"/>
    </xf>
    <xf numFmtId="0" fontId="0" fillId="0" borderId="0" xfId="0" applyBorder="1" applyAlignment="1">
      <alignment horizontal="center" wrapText="1"/>
    </xf>
    <xf numFmtId="0" fontId="0" fillId="0" borderId="0" xfId="0" applyBorder="1" applyAlignment="1">
      <alignment wrapText="1"/>
    </xf>
    <xf numFmtId="0" fontId="15" fillId="0" borderId="0" xfId="0" applyFont="1" applyBorder="1" applyAlignment="1">
      <alignment wrapText="1"/>
    </xf>
    <xf numFmtId="0" fontId="16" fillId="8" borderId="9" xfId="0" applyFont="1" applyFill="1" applyBorder="1" applyAlignment="1">
      <alignment horizontal="center"/>
    </xf>
    <xf numFmtId="14" fontId="15" fillId="0" borderId="6" xfId="0" applyNumberFormat="1" applyFont="1" applyBorder="1" applyAlignment="1">
      <alignment horizontal="center"/>
    </xf>
    <xf numFmtId="0" fontId="13" fillId="9" borderId="11" xfId="0" applyFont="1" applyFill="1" applyBorder="1" applyAlignment="1"/>
    <xf numFmtId="0" fontId="13" fillId="9" borderId="29" xfId="0" applyFont="1" applyFill="1" applyBorder="1" applyAlignment="1"/>
    <xf numFmtId="0" fontId="17" fillId="5" borderId="2" xfId="0" applyFont="1" applyFill="1" applyBorder="1" applyAlignment="1">
      <alignment wrapText="1"/>
    </xf>
    <xf numFmtId="0" fontId="17" fillId="5" borderId="1" xfId="0" applyFont="1" applyFill="1" applyBorder="1" applyAlignment="1">
      <alignment wrapText="1"/>
    </xf>
    <xf numFmtId="14" fontId="15" fillId="0" borderId="14" xfId="0" applyNumberFormat="1" applyFont="1" applyBorder="1" applyAlignment="1">
      <alignment horizontal="center"/>
    </xf>
    <xf numFmtId="14" fontId="15" fillId="0" borderId="12" xfId="0" applyNumberFormat="1" applyFont="1" applyBorder="1" applyAlignment="1">
      <alignment horizontal="center"/>
    </xf>
    <xf numFmtId="14" fontId="15" fillId="0" borderId="16" xfId="0" applyNumberFormat="1" applyFont="1" applyBorder="1" applyAlignment="1">
      <alignment horizontal="center"/>
    </xf>
    <xf numFmtId="0" fontId="16" fillId="4" borderId="9" xfId="0" applyFont="1" applyFill="1" applyBorder="1" applyAlignment="1">
      <alignment horizontal="center"/>
    </xf>
    <xf numFmtId="0" fontId="16" fillId="8" borderId="37" xfId="0" applyFont="1" applyFill="1" applyBorder="1" applyAlignment="1">
      <alignment horizontal="center"/>
    </xf>
    <xf numFmtId="0" fontId="16" fillId="4" borderId="37" xfId="0" applyFont="1" applyFill="1" applyBorder="1" applyAlignment="1">
      <alignment horizontal="center" wrapText="1"/>
    </xf>
    <xf numFmtId="0" fontId="16" fillId="8" borderId="13" xfId="0" applyFont="1" applyFill="1" applyBorder="1" applyAlignment="1">
      <alignment horizontal="center"/>
    </xf>
    <xf numFmtId="0" fontId="16" fillId="4" borderId="37" xfId="0" applyFont="1" applyFill="1" applyBorder="1" applyAlignment="1">
      <alignment horizontal="center"/>
    </xf>
    <xf numFmtId="1" fontId="15" fillId="0" borderId="20" xfId="0" applyNumberFormat="1" applyFont="1" applyBorder="1" applyAlignment="1">
      <alignment horizontal="center"/>
    </xf>
    <xf numFmtId="1" fontId="15" fillId="0" borderId="3" xfId="0" applyNumberFormat="1" applyFont="1" applyBorder="1" applyAlignment="1">
      <alignment horizontal="center"/>
    </xf>
    <xf numFmtId="1" fontId="15" fillId="0" borderId="8" xfId="0" applyNumberFormat="1" applyFont="1" applyBorder="1" applyAlignment="1">
      <alignment horizontal="center"/>
    </xf>
    <xf numFmtId="1" fontId="15" fillId="0" borderId="17" xfId="0" applyNumberFormat="1" applyFont="1" applyBorder="1" applyAlignment="1">
      <alignment horizontal="center"/>
    </xf>
    <xf numFmtId="0" fontId="16" fillId="4" borderId="9" xfId="0" applyFont="1" applyFill="1" applyBorder="1" applyAlignment="1">
      <alignment horizontal="center" wrapText="1"/>
    </xf>
    <xf numFmtId="0" fontId="16" fillId="7" borderId="36" xfId="0" applyFont="1" applyFill="1" applyBorder="1" applyAlignment="1">
      <alignment horizontal="center" wrapText="1"/>
    </xf>
    <xf numFmtId="0" fontId="22" fillId="12" borderId="0" xfId="0" applyFont="1" applyFill="1"/>
    <xf numFmtId="166" fontId="15" fillId="0" borderId="20" xfId="3" applyNumberFormat="1" applyFont="1" applyBorder="1" applyAlignment="1">
      <alignment horizontal="center"/>
    </xf>
    <xf numFmtId="166" fontId="15" fillId="0" borderId="3" xfId="3" applyNumberFormat="1" applyFont="1" applyBorder="1" applyAlignment="1">
      <alignment horizontal="center"/>
    </xf>
    <xf numFmtId="166" fontId="15" fillId="0" borderId="17" xfId="3" applyNumberFormat="1" applyFont="1" applyBorder="1" applyAlignment="1">
      <alignment horizontal="center"/>
    </xf>
    <xf numFmtId="166" fontId="15" fillId="0" borderId="8" xfId="3" applyNumberFormat="1" applyFont="1" applyBorder="1" applyAlignment="1">
      <alignment horizontal="center"/>
    </xf>
    <xf numFmtId="166" fontId="16" fillId="3" borderId="38" xfId="3" applyNumberFormat="1" applyFont="1" applyFill="1" applyBorder="1" applyAlignment="1">
      <alignment horizontal="center"/>
    </xf>
    <xf numFmtId="37" fontId="16" fillId="0" borderId="10" xfId="0" applyNumberFormat="1" applyFont="1" applyBorder="1" applyAlignment="1">
      <alignment horizontal="center"/>
    </xf>
    <xf numFmtId="37" fontId="16" fillId="3" borderId="10" xfId="0" applyNumberFormat="1" applyFont="1" applyFill="1" applyBorder="1" applyAlignment="1">
      <alignment horizontal="center"/>
    </xf>
    <xf numFmtId="37" fontId="0" fillId="0" borderId="0" xfId="0" applyNumberFormat="1" applyAlignment="1">
      <alignment horizontal="center"/>
    </xf>
    <xf numFmtId="0" fontId="0" fillId="0" borderId="0" xfId="0" applyAlignment="1">
      <alignment horizontal="center"/>
    </xf>
    <xf numFmtId="166" fontId="0" fillId="0" borderId="0" xfId="3" applyNumberFormat="1" applyFont="1" applyAlignment="1">
      <alignment horizontal="center"/>
    </xf>
    <xf numFmtId="0" fontId="22" fillId="0" borderId="45" xfId="0" applyFont="1" applyBorder="1" applyAlignment="1">
      <alignment horizontal="center"/>
    </xf>
    <xf numFmtId="0" fontId="0" fillId="0" borderId="0" xfId="0" applyAlignment="1">
      <alignment horizontal="center" wrapText="1"/>
    </xf>
    <xf numFmtId="44" fontId="0" fillId="0" borderId="0" xfId="3" applyFont="1"/>
    <xf numFmtId="166" fontId="0" fillId="0" borderId="0" xfId="3" applyNumberFormat="1" applyFont="1"/>
    <xf numFmtId="49" fontId="0" fillId="0" borderId="0" xfId="0" applyNumberFormat="1"/>
    <xf numFmtId="0" fontId="0" fillId="0" borderId="0" xfId="3" applyNumberFormat="1" applyFont="1" applyAlignment="1">
      <alignment horizontal="left"/>
    </xf>
    <xf numFmtId="0" fontId="0" fillId="0" borderId="0" xfId="3" applyNumberFormat="1" applyFont="1" applyAlignment="1">
      <alignment horizontal="center"/>
    </xf>
    <xf numFmtId="0" fontId="0" fillId="0" borderId="0" xfId="0" applyNumberFormat="1"/>
    <xf numFmtId="37" fontId="15" fillId="3" borderId="6" xfId="0" applyNumberFormat="1" applyFont="1" applyFill="1" applyBorder="1" applyAlignment="1" applyProtection="1">
      <alignment horizontal="center"/>
    </xf>
    <xf numFmtId="166" fontId="15" fillId="3" borderId="14" xfId="3" applyNumberFormat="1" applyFont="1" applyFill="1" applyBorder="1" applyAlignment="1" applyProtection="1">
      <alignment horizontal="center"/>
    </xf>
    <xf numFmtId="37" fontId="15" fillId="3" borderId="3" xfId="0" applyNumberFormat="1" applyFont="1" applyFill="1" applyBorder="1" applyAlignment="1" applyProtection="1">
      <alignment horizontal="center"/>
    </xf>
    <xf numFmtId="166" fontId="15" fillId="3" borderId="12" xfId="3" applyNumberFormat="1" applyFont="1" applyFill="1" applyBorder="1" applyAlignment="1" applyProtection="1">
      <alignment horizontal="center"/>
    </xf>
    <xf numFmtId="37" fontId="15" fillId="3" borderId="40" xfId="0" applyNumberFormat="1" applyFont="1" applyFill="1" applyBorder="1" applyAlignment="1" applyProtection="1">
      <alignment horizontal="center"/>
    </xf>
    <xf numFmtId="166" fontId="15" fillId="3" borderId="41" xfId="3" applyNumberFormat="1" applyFont="1" applyFill="1" applyBorder="1" applyAlignment="1" applyProtection="1">
      <alignment horizontal="center"/>
    </xf>
    <xf numFmtId="0" fontId="15" fillId="0" borderId="20" xfId="0" applyNumberFormat="1" applyFont="1" applyBorder="1" applyAlignment="1">
      <alignment horizontal="center"/>
    </xf>
    <xf numFmtId="0" fontId="15" fillId="0" borderId="3" xfId="0" applyNumberFormat="1" applyFont="1" applyBorder="1" applyAlignment="1">
      <alignment horizontal="center"/>
    </xf>
    <xf numFmtId="0" fontId="15" fillId="0" borderId="17" xfId="0" applyNumberFormat="1" applyFont="1" applyBorder="1" applyAlignment="1">
      <alignment horizontal="center"/>
    </xf>
    <xf numFmtId="0" fontId="15" fillId="0" borderId="8" xfId="0" applyNumberFormat="1" applyFont="1" applyBorder="1" applyAlignment="1">
      <alignment horizontal="center"/>
    </xf>
    <xf numFmtId="0" fontId="15" fillId="0" borderId="14" xfId="0" applyNumberFormat="1" applyFont="1" applyBorder="1" applyAlignment="1">
      <alignment horizontal="center"/>
    </xf>
    <xf numFmtId="0" fontId="15" fillId="0" borderId="12" xfId="0" applyNumberFormat="1" applyFont="1" applyBorder="1" applyAlignment="1">
      <alignment horizontal="center"/>
    </xf>
    <xf numFmtId="0" fontId="15" fillId="0" borderId="18" xfId="0" applyNumberFormat="1" applyFont="1" applyBorder="1" applyAlignment="1">
      <alignment horizontal="center"/>
    </xf>
    <xf numFmtId="0" fontId="15" fillId="0" borderId="16" xfId="0" applyNumberFormat="1" applyFont="1" applyBorder="1" applyAlignment="1">
      <alignment horizontal="center"/>
    </xf>
    <xf numFmtId="0" fontId="15" fillId="0" borderId="19" xfId="0" applyFont="1" applyBorder="1" applyAlignment="1">
      <alignment horizontal="center"/>
    </xf>
    <xf numFmtId="0" fontId="15" fillId="0" borderId="5" xfId="0" applyFont="1" applyBorder="1" applyAlignment="1">
      <alignment horizontal="center"/>
    </xf>
    <xf numFmtId="0" fontId="15" fillId="0" borderId="7" xfId="0" applyFont="1" applyBorder="1" applyAlignment="1">
      <alignment horizontal="center"/>
    </xf>
    <xf numFmtId="0" fontId="15" fillId="0" borderId="19" xfId="0" applyNumberFormat="1" applyFont="1" applyBorder="1" applyAlignment="1">
      <alignment horizontal="center"/>
    </xf>
    <xf numFmtId="0" fontId="15" fillId="0" borderId="5" xfId="0" applyNumberFormat="1" applyFont="1" applyBorder="1" applyAlignment="1">
      <alignment horizontal="center"/>
    </xf>
    <xf numFmtId="0" fontId="15" fillId="0" borderId="31" xfId="0" applyNumberFormat="1" applyFont="1" applyBorder="1" applyAlignment="1">
      <alignment horizontal="center"/>
    </xf>
    <xf numFmtId="0" fontId="15" fillId="0" borderId="7" xfId="0" applyNumberFormat="1" applyFont="1" applyBorder="1" applyAlignment="1">
      <alignment horizontal="center"/>
    </xf>
    <xf numFmtId="0" fontId="15" fillId="0" borderId="30" xfId="0" applyFont="1" applyBorder="1"/>
    <xf numFmtId="0" fontId="15" fillId="0" borderId="47" xfId="0" applyFont="1" applyFill="1" applyBorder="1"/>
    <xf numFmtId="0" fontId="15" fillId="0" borderId="47" xfId="0" applyFont="1" applyBorder="1"/>
    <xf numFmtId="0" fontId="15" fillId="0" borderId="42" xfId="0" applyFont="1" applyBorder="1"/>
    <xf numFmtId="0" fontId="16" fillId="0" borderId="35" xfId="0" applyFont="1" applyBorder="1"/>
    <xf numFmtId="0" fontId="14" fillId="5" borderId="9" xfId="0" applyFont="1" applyFill="1" applyBorder="1" applyAlignment="1">
      <alignment horizontal="left"/>
    </xf>
    <xf numFmtId="37" fontId="15" fillId="3" borderId="4" xfId="0" applyNumberFormat="1" applyFont="1" applyFill="1" applyBorder="1" applyAlignment="1" applyProtection="1">
      <alignment horizontal="center"/>
    </xf>
    <xf numFmtId="37" fontId="15" fillId="3" borderId="5" xfId="0" applyNumberFormat="1" applyFont="1" applyFill="1" applyBorder="1" applyAlignment="1" applyProtection="1">
      <alignment horizontal="center"/>
    </xf>
    <xf numFmtId="37" fontId="15" fillId="3" borderId="39" xfId="0" applyNumberFormat="1" applyFont="1" applyFill="1" applyBorder="1" applyAlignment="1" applyProtection="1">
      <alignment horizontal="center"/>
    </xf>
    <xf numFmtId="37" fontId="16" fillId="0" borderId="33" xfId="0" applyNumberFormat="1" applyFont="1" applyBorder="1" applyAlignment="1">
      <alignment horizontal="center"/>
    </xf>
    <xf numFmtId="0" fontId="16" fillId="8" borderId="48" xfId="0" applyFont="1" applyFill="1" applyBorder="1" applyAlignment="1">
      <alignment horizontal="center" wrapText="1"/>
    </xf>
    <xf numFmtId="0" fontId="16" fillId="8" borderId="1" xfId="0" applyFont="1" applyFill="1" applyBorder="1" applyAlignment="1">
      <alignment horizontal="center" wrapText="1"/>
    </xf>
    <xf numFmtId="167" fontId="15" fillId="0" borderId="20" xfId="0" applyNumberFormat="1" applyFont="1" applyBorder="1" applyAlignment="1">
      <alignment horizontal="center"/>
    </xf>
    <xf numFmtId="167" fontId="15" fillId="0" borderId="15" xfId="0" applyNumberFormat="1" applyFont="1" applyBorder="1" applyAlignment="1">
      <alignment horizontal="center"/>
    </xf>
    <xf numFmtId="167" fontId="15" fillId="0" borderId="3" xfId="0" applyNumberFormat="1" applyFont="1" applyBorder="1" applyAlignment="1">
      <alignment horizontal="center"/>
    </xf>
    <xf numFmtId="167" fontId="15" fillId="0" borderId="21" xfId="0" applyNumberFormat="1" applyFont="1" applyBorder="1" applyAlignment="1">
      <alignment horizontal="center"/>
    </xf>
    <xf numFmtId="167" fontId="15" fillId="0" borderId="17" xfId="0" applyNumberFormat="1" applyFont="1" applyBorder="1" applyAlignment="1">
      <alignment horizontal="center"/>
    </xf>
    <xf numFmtId="167" fontId="15" fillId="0" borderId="49" xfId="0" applyNumberFormat="1" applyFont="1" applyBorder="1" applyAlignment="1">
      <alignment horizontal="center"/>
    </xf>
    <xf numFmtId="167" fontId="15" fillId="0" borderId="8" xfId="0" applyNumberFormat="1" applyFont="1" applyBorder="1" applyAlignment="1">
      <alignment horizontal="center"/>
    </xf>
    <xf numFmtId="167" fontId="15" fillId="0" borderId="46" xfId="0" applyNumberFormat="1" applyFont="1" applyBorder="1" applyAlignment="1">
      <alignment horizontal="center"/>
    </xf>
    <xf numFmtId="0" fontId="15" fillId="0" borderId="14" xfId="0" applyFont="1" applyBorder="1" applyAlignment="1">
      <alignment horizontal="center"/>
    </xf>
    <xf numFmtId="0" fontId="15" fillId="0" borderId="12" xfId="0" applyFont="1" applyBorder="1" applyAlignment="1">
      <alignment horizontal="center"/>
    </xf>
    <xf numFmtId="0" fontId="15" fillId="0" borderId="18" xfId="0" applyFont="1" applyBorder="1" applyAlignment="1">
      <alignment horizontal="center"/>
    </xf>
    <xf numFmtId="0" fontId="15" fillId="0" borderId="16" xfId="0" applyFont="1" applyBorder="1" applyAlignment="1">
      <alignment horizontal="center"/>
    </xf>
    <xf numFmtId="0" fontId="15" fillId="0" borderId="19" xfId="0" applyFont="1" applyBorder="1" applyAlignment="1"/>
    <xf numFmtId="0" fontId="15" fillId="0" borderId="20" xfId="0" applyFont="1" applyBorder="1" applyAlignment="1"/>
    <xf numFmtId="0" fontId="15" fillId="0" borderId="5" xfId="0" applyFont="1" applyBorder="1" applyAlignment="1"/>
    <xf numFmtId="0" fontId="15" fillId="0" borderId="3" xfId="0" applyFont="1" applyBorder="1" applyAlignment="1"/>
    <xf numFmtId="0" fontId="15" fillId="0" borderId="31" xfId="0" applyFont="1" applyBorder="1" applyAlignment="1"/>
    <xf numFmtId="0" fontId="15" fillId="0" borderId="17" xfId="0" applyFont="1" applyBorder="1" applyAlignment="1"/>
    <xf numFmtId="0" fontId="23" fillId="0" borderId="0" xfId="0" applyFont="1" applyAlignment="1">
      <alignment horizontal="center"/>
    </xf>
    <xf numFmtId="167" fontId="0" fillId="0" borderId="0" xfId="0" applyNumberFormat="1" applyAlignment="1">
      <alignment horizontal="center"/>
    </xf>
    <xf numFmtId="1" fontId="15" fillId="0" borderId="18" xfId="0" applyNumberFormat="1" applyFont="1" applyBorder="1" applyAlignment="1">
      <alignment horizontal="center"/>
    </xf>
    <xf numFmtId="1" fontId="15" fillId="0" borderId="16" xfId="0" applyNumberFormat="1" applyFont="1" applyBorder="1" applyAlignment="1">
      <alignment horizontal="center"/>
    </xf>
    <xf numFmtId="0" fontId="15" fillId="0" borderId="3" xfId="0" applyNumberFormat="1" applyFont="1" applyBorder="1" applyAlignment="1">
      <alignment horizontal="left" wrapText="1"/>
    </xf>
    <xf numFmtId="0" fontId="15" fillId="0" borderId="24" xfId="0" applyNumberFormat="1" applyFont="1" applyBorder="1" applyAlignment="1">
      <alignment horizontal="left" wrapText="1"/>
    </xf>
    <xf numFmtId="0" fontId="15" fillId="0" borderId="23" xfId="0" applyNumberFormat="1" applyFont="1" applyBorder="1" applyAlignment="1">
      <alignment horizontal="left" wrapText="1"/>
    </xf>
    <xf numFmtId="0" fontId="15" fillId="0" borderId="21" xfId="0" applyNumberFormat="1" applyFont="1" applyBorder="1" applyAlignment="1">
      <alignment horizontal="left" wrapText="1"/>
    </xf>
    <xf numFmtId="0" fontId="15" fillId="0" borderId="20" xfId="0" applyNumberFormat="1" applyFont="1" applyBorder="1" applyAlignment="1">
      <alignment horizontal="left" wrapText="1"/>
    </xf>
    <xf numFmtId="0" fontId="15" fillId="0" borderId="32" xfId="0" applyNumberFormat="1" applyFont="1" applyBorder="1" applyAlignment="1">
      <alignment horizontal="left" wrapText="1"/>
    </xf>
    <xf numFmtId="0" fontId="17" fillId="5" borderId="9" xfId="0" applyFont="1" applyFill="1" applyBorder="1" applyAlignment="1">
      <alignment horizontal="left" wrapText="1"/>
    </xf>
    <xf numFmtId="0" fontId="17" fillId="5" borderId="2" xfId="0" applyFont="1" applyFill="1" applyBorder="1" applyAlignment="1">
      <alignment horizontal="left" wrapText="1"/>
    </xf>
    <xf numFmtId="0" fontId="17" fillId="5" borderId="1" xfId="0" applyFont="1" applyFill="1" applyBorder="1" applyAlignment="1">
      <alignment horizontal="left" wrapText="1"/>
    </xf>
    <xf numFmtId="0" fontId="15" fillId="0" borderId="22" xfId="0" applyNumberFormat="1" applyFont="1" applyBorder="1" applyAlignment="1">
      <alignment horizontal="left" wrapText="1"/>
    </xf>
    <xf numFmtId="0" fontId="15" fillId="0" borderId="46" xfId="0" applyNumberFormat="1" applyFont="1" applyBorder="1" applyAlignment="1">
      <alignment horizontal="left" wrapText="1"/>
    </xf>
    <xf numFmtId="0" fontId="16" fillId="4" borderId="2" xfId="0" applyFont="1" applyFill="1" applyBorder="1" applyAlignment="1">
      <alignment horizontal="center"/>
    </xf>
    <xf numFmtId="0" fontId="16" fillId="4" borderId="1" xfId="0" applyFont="1" applyFill="1" applyBorder="1" applyAlignment="1">
      <alignment horizontal="center"/>
    </xf>
    <xf numFmtId="0" fontId="15" fillId="0" borderId="23" xfId="0" applyNumberFormat="1" applyFont="1" applyBorder="1" applyAlignment="1">
      <alignment wrapText="1"/>
    </xf>
    <xf numFmtId="0" fontId="15" fillId="0" borderId="21" xfId="0" applyNumberFormat="1" applyFont="1" applyBorder="1" applyAlignment="1">
      <alignment wrapText="1"/>
    </xf>
    <xf numFmtId="165" fontId="15" fillId="3" borderId="35" xfId="0" applyNumberFormat="1" applyFont="1" applyFill="1" applyBorder="1" applyAlignment="1">
      <alignment horizontal="left"/>
    </xf>
    <xf numFmtId="165" fontId="15" fillId="3" borderId="27" xfId="0" applyNumberFormat="1" applyFont="1" applyFill="1" applyBorder="1" applyAlignment="1">
      <alignment horizontal="left"/>
    </xf>
    <xf numFmtId="165" fontId="15" fillId="3" borderId="28" xfId="0" applyNumberFormat="1" applyFont="1" applyFill="1" applyBorder="1" applyAlignment="1">
      <alignment horizontal="left"/>
    </xf>
    <xf numFmtId="0" fontId="15" fillId="3" borderId="42" xfId="0" applyNumberFormat="1" applyFont="1" applyFill="1" applyBorder="1" applyAlignment="1">
      <alignment horizontal="left"/>
    </xf>
    <xf numFmtId="0" fontId="15" fillId="3" borderId="43" xfId="0" applyNumberFormat="1" applyFont="1" applyFill="1" applyBorder="1" applyAlignment="1">
      <alignment horizontal="left"/>
    </xf>
    <xf numFmtId="0" fontId="15" fillId="3" borderId="44" xfId="0" applyNumberFormat="1" applyFont="1" applyFill="1" applyBorder="1" applyAlignment="1">
      <alignment horizontal="left"/>
    </xf>
    <xf numFmtId="0" fontId="15" fillId="0" borderId="26" xfId="0" applyNumberFormat="1" applyFont="1" applyBorder="1" applyAlignment="1">
      <alignment horizontal="left" wrapText="1"/>
    </xf>
    <xf numFmtId="0" fontId="15" fillId="0" borderId="15" xfId="0" applyNumberFormat="1" applyFont="1" applyBorder="1" applyAlignment="1">
      <alignment horizontal="left" wrapText="1"/>
    </xf>
    <xf numFmtId="0" fontId="15" fillId="0" borderId="3" xfId="0" applyNumberFormat="1" applyFont="1" applyBorder="1" applyAlignment="1">
      <alignment wrapText="1"/>
    </xf>
    <xf numFmtId="0" fontId="15" fillId="0" borderId="24" xfId="0" applyNumberFormat="1" applyFont="1" applyBorder="1" applyAlignment="1">
      <alignment wrapText="1"/>
    </xf>
    <xf numFmtId="0" fontId="15" fillId="6" borderId="5" xfId="0" applyFont="1" applyFill="1" applyBorder="1" applyAlignment="1">
      <alignment horizontal="left" wrapText="1"/>
    </xf>
    <xf numFmtId="0" fontId="15" fillId="6" borderId="3" xfId="0" applyFont="1" applyFill="1" applyBorder="1" applyAlignment="1">
      <alignment horizontal="left" wrapText="1"/>
    </xf>
    <xf numFmtId="0" fontId="15" fillId="6" borderId="24" xfId="0" applyFont="1" applyFill="1" applyBorder="1" applyAlignment="1">
      <alignment horizontal="left" wrapText="1"/>
    </xf>
    <xf numFmtId="0" fontId="18" fillId="0" borderId="0" xfId="0" applyFont="1" applyBorder="1" applyAlignment="1" applyProtection="1">
      <alignment horizontal="center" wrapText="1"/>
    </xf>
    <xf numFmtId="0" fontId="19" fillId="0" borderId="0" xfId="0" applyFont="1" applyBorder="1" applyAlignment="1" applyProtection="1">
      <alignment horizontal="center" wrapText="1"/>
    </xf>
    <xf numFmtId="0" fontId="20" fillId="0" borderId="0" xfId="0" applyFont="1" applyBorder="1" applyAlignment="1" applyProtection="1">
      <alignment horizontal="center"/>
    </xf>
    <xf numFmtId="0" fontId="17" fillId="5" borderId="9" xfId="0" applyFont="1" applyFill="1" applyBorder="1" applyAlignment="1" applyProtection="1">
      <alignment horizontal="left"/>
    </xf>
    <xf numFmtId="0" fontId="17" fillId="5" borderId="2" xfId="0" applyFont="1" applyFill="1" applyBorder="1" applyAlignment="1" applyProtection="1">
      <alignment horizontal="left"/>
    </xf>
    <xf numFmtId="0" fontId="17" fillId="5" borderId="1" xfId="0" applyFont="1" applyFill="1" applyBorder="1" applyAlignment="1" applyProtection="1">
      <alignment horizontal="left"/>
    </xf>
    <xf numFmtId="0" fontId="15" fillId="3" borderId="25" xfId="0" applyNumberFormat="1" applyFont="1" applyFill="1" applyBorder="1" applyAlignment="1">
      <alignment horizontal="left" wrapText="1"/>
    </xf>
    <xf numFmtId="0" fontId="15" fillId="3" borderId="23" xfId="0" applyNumberFormat="1" applyFont="1" applyFill="1" applyBorder="1" applyAlignment="1">
      <alignment horizontal="left" wrapText="1"/>
    </xf>
    <xf numFmtId="0" fontId="15" fillId="3" borderId="21" xfId="0" applyNumberFormat="1" applyFont="1" applyFill="1" applyBorder="1" applyAlignment="1">
      <alignment horizontal="left" wrapText="1"/>
    </xf>
    <xf numFmtId="0" fontId="15" fillId="3" borderId="30" xfId="0" applyNumberFormat="1" applyFont="1" applyFill="1" applyBorder="1" applyAlignment="1">
      <alignment horizontal="left" wrapText="1"/>
    </xf>
    <xf numFmtId="0" fontId="15" fillId="3" borderId="26" xfId="0" applyNumberFormat="1" applyFont="1" applyFill="1" applyBorder="1" applyAlignment="1">
      <alignment horizontal="left" wrapText="1"/>
    </xf>
    <xf numFmtId="0" fontId="15" fillId="3" borderId="15" xfId="0" applyNumberFormat="1" applyFont="1" applyFill="1" applyBorder="1" applyAlignment="1">
      <alignment horizontal="left" wrapText="1"/>
    </xf>
    <xf numFmtId="0" fontId="16" fillId="11" borderId="9" xfId="0" applyFont="1" applyFill="1" applyBorder="1" applyAlignment="1">
      <alignment horizontal="center"/>
    </xf>
    <xf numFmtId="0" fontId="16" fillId="11" borderId="2" xfId="0" applyFont="1" applyFill="1" applyBorder="1" applyAlignment="1">
      <alignment horizontal="center"/>
    </xf>
    <xf numFmtId="0" fontId="16" fillId="11" borderId="1" xfId="0" applyFont="1" applyFill="1" applyBorder="1" applyAlignment="1">
      <alignment horizontal="center"/>
    </xf>
    <xf numFmtId="0" fontId="15" fillId="3" borderId="25" xfId="0" applyNumberFormat="1" applyFont="1" applyFill="1" applyBorder="1" applyAlignment="1">
      <alignment horizontal="left" vertical="top" wrapText="1"/>
    </xf>
    <xf numFmtId="0" fontId="15" fillId="3" borderId="23" xfId="0" applyNumberFormat="1" applyFont="1" applyFill="1" applyBorder="1" applyAlignment="1">
      <alignment horizontal="left" vertical="top" wrapText="1"/>
    </xf>
    <xf numFmtId="0" fontId="15" fillId="3" borderId="21" xfId="0" applyNumberFormat="1" applyFont="1" applyFill="1" applyBorder="1" applyAlignment="1">
      <alignment horizontal="left" vertical="top" wrapText="1"/>
    </xf>
    <xf numFmtId="0" fontId="15" fillId="3" borderId="5" xfId="0" applyNumberFormat="1" applyFont="1" applyFill="1" applyBorder="1" applyAlignment="1">
      <alignment horizontal="left"/>
    </xf>
    <xf numFmtId="0" fontId="15" fillId="3" borderId="3" xfId="0" applyNumberFormat="1" applyFont="1" applyFill="1" applyBorder="1" applyAlignment="1">
      <alignment horizontal="left"/>
    </xf>
    <xf numFmtId="0" fontId="15" fillId="3" borderId="24" xfId="0" applyNumberFormat="1" applyFont="1" applyFill="1" applyBorder="1" applyAlignment="1">
      <alignment horizontal="left"/>
    </xf>
    <xf numFmtId="0" fontId="15" fillId="6" borderId="19" xfId="0" applyFont="1" applyFill="1" applyBorder="1" applyAlignment="1">
      <alignment horizontal="left" wrapText="1"/>
    </xf>
    <xf numFmtId="0" fontId="15" fillId="6" borderId="20" xfId="0" applyFont="1" applyFill="1" applyBorder="1" applyAlignment="1">
      <alignment horizontal="left" wrapText="1"/>
    </xf>
    <xf numFmtId="0" fontId="15" fillId="6" borderId="32" xfId="0" applyFont="1" applyFill="1" applyBorder="1" applyAlignment="1">
      <alignment horizontal="left" wrapText="1"/>
    </xf>
    <xf numFmtId="0" fontId="16" fillId="10" borderId="9" xfId="0" applyFont="1" applyFill="1" applyBorder="1" applyAlignment="1">
      <alignment horizontal="center"/>
    </xf>
    <xf numFmtId="0" fontId="16" fillId="10" borderId="2" xfId="0" applyFont="1" applyFill="1" applyBorder="1" applyAlignment="1">
      <alignment horizontal="center"/>
    </xf>
    <xf numFmtId="0" fontId="16" fillId="10" borderId="1" xfId="0" applyFont="1" applyFill="1" applyBorder="1" applyAlignment="1">
      <alignment horizontal="center"/>
    </xf>
    <xf numFmtId="0" fontId="15" fillId="6" borderId="7" xfId="0" applyFont="1" applyFill="1" applyBorder="1" applyAlignment="1">
      <alignment horizontal="left" wrapText="1"/>
    </xf>
    <xf numFmtId="0" fontId="15" fillId="6" borderId="8" xfId="0" applyFont="1" applyFill="1" applyBorder="1" applyAlignment="1">
      <alignment horizontal="left" wrapText="1"/>
    </xf>
    <xf numFmtId="0" fontId="15" fillId="6" borderId="34" xfId="0" applyFont="1" applyFill="1" applyBorder="1" applyAlignment="1">
      <alignment horizontal="left" wrapText="1"/>
    </xf>
    <xf numFmtId="0" fontId="15" fillId="0" borderId="8" xfId="0" applyNumberFormat="1" applyFont="1" applyBorder="1" applyAlignment="1">
      <alignment horizontal="left" wrapText="1"/>
    </xf>
    <xf numFmtId="0" fontId="15" fillId="0" borderId="34" xfId="0" applyNumberFormat="1" applyFont="1" applyBorder="1" applyAlignment="1">
      <alignment horizontal="left" wrapText="1"/>
    </xf>
    <xf numFmtId="0" fontId="15" fillId="0" borderId="7" xfId="0" applyFont="1" applyBorder="1" applyAlignment="1"/>
    <xf numFmtId="0" fontId="15" fillId="0" borderId="8" xfId="0" applyFont="1" applyBorder="1" applyAlignment="1"/>
    <xf numFmtId="0" fontId="15" fillId="0" borderId="12" xfId="0" applyNumberFormat="1" applyFont="1" applyBorder="1" applyAlignment="1">
      <alignment horizontal="center" vertical="center" wrapText="1"/>
    </xf>
    <xf numFmtId="0" fontId="15" fillId="0" borderId="14" xfId="0" applyNumberFormat="1" applyFont="1" applyBorder="1" applyAlignment="1">
      <alignment horizontal="center" vertical="center" wrapText="1"/>
    </xf>
    <xf numFmtId="0" fontId="15" fillId="0" borderId="16" xfId="0" applyNumberFormat="1" applyFont="1" applyBorder="1" applyAlignment="1">
      <alignment horizontal="center" vertical="center" wrapText="1"/>
    </xf>
    <xf numFmtId="0" fontId="16" fillId="4" borderId="9" xfId="0" applyFont="1" applyFill="1" applyBorder="1" applyAlignment="1">
      <alignment horizontal="center"/>
    </xf>
    <xf numFmtId="0" fontId="15" fillId="0" borderId="50" xfId="0" applyNumberFormat="1" applyFont="1" applyBorder="1" applyAlignment="1">
      <alignment horizontal="left" wrapText="1"/>
    </xf>
    <xf numFmtId="14" fontId="15" fillId="0" borderId="32" xfId="0" applyNumberFormat="1" applyFont="1" applyBorder="1" applyAlignment="1">
      <alignment horizontal="center"/>
    </xf>
    <xf numFmtId="14" fontId="15" fillId="0" borderId="24" xfId="0" applyNumberFormat="1" applyFont="1" applyBorder="1" applyAlignment="1">
      <alignment horizontal="center"/>
    </xf>
    <xf numFmtId="14" fontId="15" fillId="0" borderId="51" xfId="0" applyNumberFormat="1" applyFont="1" applyBorder="1" applyAlignment="1">
      <alignment horizontal="center"/>
    </xf>
    <xf numFmtId="14" fontId="15" fillId="0" borderId="34" xfId="0" applyNumberFormat="1" applyFont="1" applyBorder="1" applyAlignment="1">
      <alignment horizontal="center"/>
    </xf>
    <xf numFmtId="0" fontId="15" fillId="0" borderId="19" xfId="0" applyNumberFormat="1" applyFont="1" applyBorder="1" applyAlignment="1">
      <alignment horizontal="left" wrapText="1"/>
    </xf>
    <xf numFmtId="0" fontId="15" fillId="0" borderId="5" xfId="0" applyNumberFormat="1" applyFont="1" applyBorder="1" applyAlignment="1">
      <alignment horizontal="left" wrapText="1"/>
    </xf>
    <xf numFmtId="0" fontId="15" fillId="0" borderId="5" xfId="0" applyNumberFormat="1" applyFont="1" applyBorder="1" applyAlignment="1">
      <alignment wrapText="1"/>
    </xf>
    <xf numFmtId="0" fontId="15" fillId="0" borderId="7" xfId="0" applyNumberFormat="1" applyFont="1" applyBorder="1" applyAlignment="1">
      <alignment horizontal="left" wrapText="1"/>
    </xf>
  </cellXfs>
  <cellStyles count="45">
    <cellStyle name="0" xfId="5"/>
    <cellStyle name="0_LP vs SELF" xfId="6"/>
    <cellStyle name="0_November" xfId="7"/>
    <cellStyle name="Column_Title" xfId="8"/>
    <cellStyle name="Comma 2" xfId="9"/>
    <cellStyle name="Comma0" xfId="10"/>
    <cellStyle name="Currency" xfId="3" builtinId="4"/>
    <cellStyle name="Currency 2" xfId="11"/>
    <cellStyle name="Currency 3" xfId="12"/>
    <cellStyle name="Currency 4" xfId="13"/>
    <cellStyle name="Currency 5" xfId="43"/>
    <cellStyle name="Currency 6" xfId="4"/>
    <cellStyle name="Currency0" xfId="14"/>
    <cellStyle name="Date" xfId="15"/>
    <cellStyle name="Euro" xfId="16"/>
    <cellStyle name="Fixed" xfId="17"/>
    <cellStyle name="Grey" xfId="18"/>
    <cellStyle name="header left 10pt::false:32" xfId="19"/>
    <cellStyle name="Input [yellow]" xfId="20"/>
    <cellStyle name="Normal" xfId="0" builtinId="0"/>
    <cellStyle name="Normal - Style1" xfId="21"/>
    <cellStyle name="Normal 10" xfId="42"/>
    <cellStyle name="Normal 2" xfId="1"/>
    <cellStyle name="Normal 3" xfId="2"/>
    <cellStyle name="Normal 3 2" xfId="22"/>
    <cellStyle name="Normal 4" xfId="23"/>
    <cellStyle name="Normal 5" xfId="24"/>
    <cellStyle name="Normal 6" xfId="25"/>
    <cellStyle name="Normal 7" xfId="26"/>
    <cellStyle name="Normal 8" xfId="27"/>
    <cellStyle name="Normal 9" xfId="28"/>
    <cellStyle name="Percent [2]" xfId="29"/>
    <cellStyle name="Percent 2" xfId="30"/>
    <cellStyle name="Percent 3" xfId="31"/>
    <cellStyle name="Percent 4" xfId="32"/>
    <cellStyle name="Percent 5" xfId="33"/>
    <cellStyle name="Percent 6" xfId="34"/>
    <cellStyle name="Percent 7" xfId="44"/>
    <cellStyle name="PSChar" xfId="35"/>
    <cellStyle name="PSDate" xfId="36"/>
    <cellStyle name="PSDec" xfId="37"/>
    <cellStyle name="PSHeading" xfId="38"/>
    <cellStyle name="PSInt" xfId="39"/>
    <cellStyle name="PSSpacer" xfId="40"/>
    <cellStyle name="Tickmark" xfId="4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9</xdr:col>
      <xdr:colOff>3495675</xdr:colOff>
      <xdr:row>0</xdr:row>
      <xdr:rowOff>57150</xdr:rowOff>
    </xdr:from>
    <xdr:to>
      <xdr:col>10</xdr:col>
      <xdr:colOff>2256368</xdr:colOff>
      <xdr:row>3</xdr:row>
      <xdr:rowOff>76200</xdr:rowOff>
    </xdr:to>
    <xdr:pic>
      <xdr:nvPicPr>
        <xdr:cNvPr id="1189" name="Picture 2" descr="http://sportal.dcsg.com/Center%20Court%20Home%20Page%20DocLibrary/Templates%20Word%20PowerPoint/DICK%27S%20%27Every%20Season%20Starts%20At%27%20Logo/DSG_logoGREENevery.png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5640050" y="57150"/>
          <a:ext cx="2257425" cy="10763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BH202"/>
  <sheetViews>
    <sheetView showGridLines="0" tabSelected="1" zoomScale="90" zoomScaleNormal="90" workbookViewId="0">
      <selection activeCell="E24" sqref="E24"/>
    </sheetView>
  </sheetViews>
  <sheetFormatPr defaultRowHeight="15" x14ac:dyDescent="0.25"/>
  <cols>
    <col min="1" max="1" width="12.5703125" customWidth="1"/>
    <col min="2" max="2" width="23.85546875" customWidth="1"/>
    <col min="3" max="3" width="26.5703125" customWidth="1"/>
    <col min="4" max="4" width="29.140625" bestFit="1" customWidth="1"/>
    <col min="5" max="5" width="18.42578125" customWidth="1"/>
    <col min="6" max="6" width="20.28515625" style="1" customWidth="1"/>
    <col min="7" max="7" width="21.42578125" style="1" customWidth="1"/>
    <col min="8" max="8" width="18.42578125" style="1" customWidth="1"/>
    <col min="9" max="9" width="14.85546875" style="1" bestFit="1" customWidth="1"/>
    <col min="10" max="10" width="15" style="1" customWidth="1"/>
    <col min="11" max="11" width="85" style="27" customWidth="1"/>
    <col min="13" max="13" width="27.28515625" customWidth="1"/>
  </cols>
  <sheetData>
    <row r="1" spans="1:11" s="1" customFormat="1" ht="34.5" customHeight="1" x14ac:dyDescent="0.5">
      <c r="A1" s="171" t="s">
        <v>74</v>
      </c>
      <c r="B1" s="171"/>
      <c r="C1" s="171"/>
      <c r="D1" s="171"/>
      <c r="E1" s="14"/>
      <c r="F1" s="14"/>
      <c r="G1" s="14"/>
      <c r="H1" s="14"/>
      <c r="I1" s="14"/>
      <c r="J1" s="29"/>
      <c r="K1" s="14"/>
    </row>
    <row r="2" spans="1:11" s="1" customFormat="1" ht="25.5" customHeight="1" x14ac:dyDescent="0.45">
      <c r="A2" s="172"/>
      <c r="B2" s="172"/>
      <c r="C2" s="172"/>
      <c r="D2" s="172"/>
      <c r="E2" s="14"/>
      <c r="F2" s="14"/>
      <c r="G2" s="14"/>
      <c r="H2" s="14"/>
      <c r="I2" s="14"/>
      <c r="J2" s="29"/>
      <c r="K2" s="14"/>
    </row>
    <row r="3" spans="1:11" ht="23.25" x14ac:dyDescent="0.35">
      <c r="A3" s="173" t="s">
        <v>911</v>
      </c>
      <c r="B3" s="173"/>
      <c r="C3" s="173"/>
      <c r="D3" s="173"/>
      <c r="E3" s="14"/>
      <c r="F3" s="14"/>
      <c r="G3" s="14"/>
      <c r="H3" s="14"/>
      <c r="I3" s="14"/>
      <c r="J3" s="14"/>
      <c r="K3" s="14"/>
    </row>
    <row r="4" spans="1:11" s="1" customFormat="1" ht="33.75" customHeight="1" thickBot="1" x14ac:dyDescent="0.3">
      <c r="A4" s="4"/>
      <c r="B4" s="4"/>
      <c r="C4" s="4"/>
      <c r="D4" s="4"/>
      <c r="E4" s="5"/>
      <c r="F4" s="5"/>
      <c r="G4" s="5"/>
      <c r="H4" s="5"/>
      <c r="I4" s="5"/>
      <c r="J4" s="5"/>
      <c r="K4" s="5"/>
    </row>
    <row r="5" spans="1:11" s="1" customFormat="1" ht="34.5" customHeight="1" thickBot="1" x14ac:dyDescent="0.4">
      <c r="A5" s="174" t="s">
        <v>906</v>
      </c>
      <c r="B5" s="175"/>
      <c r="C5" s="175"/>
      <c r="D5" s="175"/>
      <c r="E5" s="175"/>
      <c r="F5" s="175"/>
      <c r="G5" s="175"/>
      <c r="H5" s="175"/>
      <c r="I5" s="175"/>
      <c r="J5" s="175"/>
      <c r="K5" s="176"/>
    </row>
    <row r="6" spans="1:11" ht="32.25" thickBot="1" x14ac:dyDescent="0.3">
      <c r="A6" s="49" t="s">
        <v>5</v>
      </c>
      <c r="B6" s="59" t="s">
        <v>142</v>
      </c>
      <c r="C6" s="59" t="s">
        <v>65</v>
      </c>
      <c r="D6" s="59" t="s">
        <v>64</v>
      </c>
      <c r="E6" s="59" t="s">
        <v>909</v>
      </c>
      <c r="F6" s="59" t="s">
        <v>1</v>
      </c>
      <c r="G6" s="59" t="s">
        <v>2</v>
      </c>
      <c r="H6" s="59" t="s">
        <v>865</v>
      </c>
      <c r="I6" s="119" t="s">
        <v>866</v>
      </c>
      <c r="J6" s="120" t="s">
        <v>867</v>
      </c>
      <c r="K6" s="51"/>
    </row>
    <row r="7" spans="1:11" ht="18" customHeight="1" x14ac:dyDescent="0.25">
      <c r="A7" s="133" t="str">
        <f>IF(ISERROR(VLOOKUP($D7,'Alignment - No Action Needed'!$A$6:$F$1733,5,FALSE)),"",VLOOKUP($D7,'Alignment - No Action Needed'!$A$6:$F$1733,5,FALSE))</f>
        <v>Midwest</v>
      </c>
      <c r="B7" s="134" t="str">
        <f>IF(ISERROR(VLOOKUP($D7,'Alignment - No Action Needed'!$A$6:$F$1733,6,FALSE)),"",VLOOKUP($D7,'Alignment - No Action Needed'!$A$6:$F$1733,6,FALSE))</f>
        <v>Wisconsin</v>
      </c>
      <c r="C7" s="134" t="str">
        <f>IF(ISERROR(VLOOKUP($D7,'Alignment - No Action Needed'!$A$6:$F$1733,2,FALSE)),"",VLOOKUP($D7,'Alignment - No Action Needed'!$A$6:$F$1733,2,FALSE))</f>
        <v>Brookfield</v>
      </c>
      <c r="D7" s="63">
        <v>3008</v>
      </c>
      <c r="E7" s="63">
        <v>97.61</v>
      </c>
      <c r="F7" s="45">
        <v>42193.629849537036</v>
      </c>
      <c r="G7" s="129" t="s">
        <v>913</v>
      </c>
      <c r="H7" s="129" t="str">
        <f>IF(ISERROR(VLOOKUP($D7,'Alignment - No Action Needed'!$A$6:$Z$1733,7,FALSE)),"",VLOOKUP($D7,'Alignment - No Action Needed'!$A$6:$Z$1733,7,FALSE))</f>
        <v>G</v>
      </c>
      <c r="I7" s="121">
        <f>IF(ISERROR(VLOOKUP($D7,'Alignment - No Action Needed'!$A$6:$Z$1733,8,FALSE)),"",VLOOKUP($D7,'Alignment - No Action Needed'!$A$6:$Z$1733,8,FALSE))</f>
        <v>-2.1848413008002826E-3</v>
      </c>
      <c r="J7" s="122">
        <f>IF(ISERROR(VLOOKUP($D7,'Alignment - No Action Needed'!$A$6:$Z$1733,9,FALSE)),"",VLOOKUP($D7,'Alignment - No Action Needed'!$A$6:$Z$1733,9,FALSE))</f>
        <v>-3.4500000000000004E-3</v>
      </c>
      <c r="K7" s="52"/>
    </row>
    <row r="8" spans="1:11" s="31" customFormat="1" ht="18" customHeight="1" x14ac:dyDescent="0.25">
      <c r="A8" s="135" t="str">
        <f>IF(ISERROR(VLOOKUP($D8,'Alignment - No Action Needed'!$A$6:$F$1733,5,FALSE)),"",VLOOKUP($D8,'Alignment - No Action Needed'!$A$6:$F$1733,5,FALSE))</f>
        <v>Mid Atlantic</v>
      </c>
      <c r="B8" s="136" t="str">
        <f>IF(ISERROR(VLOOKUP($D8,'Alignment - No Action Needed'!$A$6:$F$1733,6,FALSE)),"",VLOOKUP($D8,'Alignment - No Action Needed'!$A$6:$F$1733,6,FALSE))</f>
        <v>Richmond</v>
      </c>
      <c r="C8" s="136" t="str">
        <f>IF(ISERROR(VLOOKUP($D8,'Alignment - No Action Needed'!$A$6:$F$1733,2,FALSE)),"",VLOOKUP($D8,'Alignment - No Action Needed'!$A$6:$F$1733,2,FALSE))</f>
        <v>Virginia Beach</v>
      </c>
      <c r="D8" s="64">
        <v>3032</v>
      </c>
      <c r="E8" s="64">
        <v>97.61</v>
      </c>
      <c r="F8" s="38">
        <v>42192.616342592592</v>
      </c>
      <c r="G8" s="130" t="s">
        <v>913</v>
      </c>
      <c r="H8" s="130" t="str">
        <f>IF(ISERROR(VLOOKUP($D8,'Alignment - No Action Needed'!$A$6:$Z$1733,7,FALSE)),"",VLOOKUP($D8,'Alignment - No Action Needed'!$A$6:$Z$1733,7,FALSE))</f>
        <v>G</v>
      </c>
      <c r="I8" s="123">
        <f>IF(ISERROR(VLOOKUP($D8,'Alignment - No Action Needed'!$A$6:$Z$1733,8,FALSE)),"",VLOOKUP($D8,'Alignment - No Action Needed'!$A$6:$Z$1733,8,FALSE))</f>
        <v>-1.5775305609170515E-3</v>
      </c>
      <c r="J8" s="124">
        <f>IF(ISERROR(VLOOKUP($D8,'Alignment - No Action Needed'!$A$6:$Z$1733,9,FALSE)),"",VLOOKUP($D8,'Alignment - No Action Needed'!$A$6:$Z$1733,9,FALSE))</f>
        <v>-3.4500000000000004E-3</v>
      </c>
      <c r="K8" s="52"/>
    </row>
    <row r="9" spans="1:11" s="31" customFormat="1" ht="18" customHeight="1" x14ac:dyDescent="0.25">
      <c r="A9" s="135" t="str">
        <f>IF(ISERROR(VLOOKUP($D9,'Alignment - No Action Needed'!$A$6:$F$1733,5,FALSE)),"",VLOOKUP($D9,'Alignment - No Action Needed'!$A$6:$F$1733,5,FALSE))</f>
        <v>Southeast</v>
      </c>
      <c r="B9" s="136" t="str">
        <f>IF(ISERROR(VLOOKUP($D9,'Alignment - No Action Needed'!$A$6:$F$1733,6,FALSE)),"",VLOOKUP($D9,'Alignment - No Action Needed'!$A$6:$F$1733,6,FALSE))</f>
        <v>Florida South</v>
      </c>
      <c r="C9" s="136" t="str">
        <f>IF(ISERROR(VLOOKUP($D9,'Alignment - No Action Needed'!$A$6:$F$1733,2,FALSE)),"",VLOOKUP($D9,'Alignment - No Action Needed'!$A$6:$F$1733,2,FALSE))</f>
        <v>Pembroke Pines</v>
      </c>
      <c r="D9" s="64">
        <v>3093</v>
      </c>
      <c r="E9" s="64">
        <v>95.13</v>
      </c>
      <c r="F9" s="38">
        <v>42188.73027777778</v>
      </c>
      <c r="G9" s="130" t="s">
        <v>913</v>
      </c>
      <c r="H9" s="130" t="str">
        <f>IF(ISERROR(VLOOKUP($D9,'Alignment - No Action Needed'!$A$6:$Z$1733,7,FALSE)),"",VLOOKUP($D9,'Alignment - No Action Needed'!$A$6:$Z$1733,7,FALSE))</f>
        <v>R</v>
      </c>
      <c r="I9" s="123">
        <f>IF(ISERROR(VLOOKUP($D9,'Alignment - No Action Needed'!$A$6:$Z$1733,8,FALSE)),"",VLOOKUP($D9,'Alignment - No Action Needed'!$A$6:$Z$1733,8,FALSE))</f>
        <v>-1.72E-2</v>
      </c>
      <c r="J9" s="124">
        <f>IF(ISERROR(VLOOKUP($D9,'Alignment - No Action Needed'!$A$6:$Z$1733,9,FALSE)),"",VLOOKUP($D9,'Alignment - No Action Needed'!$A$6:$Z$1733,9,FALSE))</f>
        <v>-1.2999999999999999E-2</v>
      </c>
      <c r="K9" s="52"/>
    </row>
    <row r="10" spans="1:11" s="31" customFormat="1" ht="18" customHeight="1" x14ac:dyDescent="0.25">
      <c r="A10" s="135" t="str">
        <f>IF(ISERROR(VLOOKUP($D10,'Alignment - No Action Needed'!$A$6:$F$1733,5,FALSE)),"",VLOOKUP($D10,'Alignment - No Action Needed'!$A$6:$F$1733,5,FALSE))</f>
        <v>Southwest</v>
      </c>
      <c r="B10" s="136" t="str">
        <f>IF(ISERROR(VLOOKUP($D10,'Alignment - No Action Needed'!$A$6:$F$1733,6,FALSE)),"",VLOOKUP($D10,'Alignment - No Action Needed'!$A$6:$F$1733,6,FALSE))</f>
        <v>Memphis</v>
      </c>
      <c r="C10" s="136" t="str">
        <f>IF(ISERROR(VLOOKUP($D10,'Alignment - No Action Needed'!$A$6:$F$1733,2,FALSE)),"",VLOOKUP($D10,'Alignment - No Action Needed'!$A$6:$F$1733,2,FALSE))</f>
        <v>Columbus, MS</v>
      </c>
      <c r="D10" s="64">
        <v>1175</v>
      </c>
      <c r="E10" s="64">
        <v>93.69</v>
      </c>
      <c r="F10" s="50">
        <v>42191.985925925925</v>
      </c>
      <c r="G10" s="130" t="s">
        <v>912</v>
      </c>
      <c r="H10" s="130" t="str">
        <f>IF(ISERROR(VLOOKUP($D10,'Alignment - No Action Needed'!$A$6:$Z$1733,7,FALSE)),"",VLOOKUP($D10,'Alignment - No Action Needed'!$A$6:$Z$1733,7,FALSE))</f>
        <v>G</v>
      </c>
      <c r="I10" s="123">
        <f>IF(ISERROR(VLOOKUP($D10,'Alignment - No Action Needed'!$A$6:$Z$1733,8,FALSE)),"",VLOOKUP($D10,'Alignment - No Action Needed'!$A$6:$Z$1733,8,FALSE))</f>
        <v>-6.1000000000000004E-3</v>
      </c>
      <c r="J10" s="124">
        <f>IF(ISERROR(VLOOKUP($D10,'Alignment - No Action Needed'!$A$6:$Z$1733,9,FALSE)),"",VLOOKUP($D10,'Alignment - No Action Needed'!$A$6:$Z$1733,9,FALSE))</f>
        <v>-8.3999999999999995E-3</v>
      </c>
      <c r="K10" s="52"/>
    </row>
    <row r="11" spans="1:11" s="31" customFormat="1" ht="18" customHeight="1" x14ac:dyDescent="0.25">
      <c r="A11" s="137" t="str">
        <f>IF(ISERROR(VLOOKUP($D11,'Alignment - No Action Needed'!$A$6:$F$1733,5,FALSE)),"",VLOOKUP($D11,'Alignment - No Action Needed'!$A$6:$F$1733,5,FALSE))</f>
        <v>Southwest</v>
      </c>
      <c r="B11" s="138" t="str">
        <f>IF(ISERROR(VLOOKUP($D11,'Alignment - No Action Needed'!$A$6:$F$1733,6,FALSE)),"",VLOOKUP($D11,'Alignment - No Action Needed'!$A$6:$F$1733,6,FALSE))</f>
        <v>Memphis</v>
      </c>
      <c r="C11" s="138" t="str">
        <f>IF(ISERROR(VLOOKUP($D11,'Alignment - No Action Needed'!$A$6:$F$1733,2,FALSE)),"",VLOOKUP($D11,'Alignment - No Action Needed'!$A$6:$F$1733,2,FALSE))</f>
        <v>Conway, AR</v>
      </c>
      <c r="D11" s="66">
        <v>608</v>
      </c>
      <c r="E11" s="64">
        <v>93.2</v>
      </c>
      <c r="F11" s="42">
        <v>42193.411550925928</v>
      </c>
      <c r="G11" s="131" t="s">
        <v>912</v>
      </c>
      <c r="H11" s="131" t="str">
        <f>IF(ISERROR(VLOOKUP($D11,'Alignment - No Action Needed'!$A$6:$Z$1733,7,FALSE)),"",VLOOKUP($D11,'Alignment - No Action Needed'!$A$6:$Z$1733,7,FALSE))</f>
        <v>Y</v>
      </c>
      <c r="I11" s="125">
        <f>IF(ISERROR(VLOOKUP($D11,'Alignment - No Action Needed'!$A$6:$Z$1733,8,FALSE)),"",VLOOKUP($D11,'Alignment - No Action Needed'!$A$6:$Z$1733,8,FALSE))</f>
        <v>-1.17E-2</v>
      </c>
      <c r="J11" s="126">
        <f>IF(ISERROR(VLOOKUP($D11,'Alignment - No Action Needed'!$A$6:$Z$1733,9,FALSE)),"",VLOOKUP($D11,'Alignment - No Action Needed'!$A$6:$Z$1733,9,FALSE))</f>
        <v>-6.1999999999999998E-3</v>
      </c>
      <c r="K11" s="52"/>
    </row>
    <row r="12" spans="1:11" s="31" customFormat="1" ht="18" customHeight="1" x14ac:dyDescent="0.25">
      <c r="A12" s="137" t="str">
        <f>IF(ISERROR(VLOOKUP($D12,'Alignment - No Action Needed'!$A$6:$F$1733,5,FALSE)),"",VLOOKUP($D12,'Alignment - No Action Needed'!$A$6:$F$1733,5,FALSE))</f>
        <v>Southwest</v>
      </c>
      <c r="B12" s="138" t="str">
        <f>IF(ISERROR(VLOOKUP($D12,'Alignment - No Action Needed'!$A$6:$F$1733,6,FALSE)),"",VLOOKUP($D12,'Alignment - No Action Needed'!$A$6:$F$1733,6,FALSE))</f>
        <v>New Orleans</v>
      </c>
      <c r="C12" s="138" t="str">
        <f>IF(ISERROR(VLOOKUP($D12,'Alignment - No Action Needed'!$A$6:$F$1733,2,FALSE)),"",VLOOKUP($D12,'Alignment - No Action Needed'!$A$6:$F$1733,2,FALSE))</f>
        <v>Baton Rouge</v>
      </c>
      <c r="D12" s="66">
        <v>399</v>
      </c>
      <c r="E12" s="64">
        <v>92.61</v>
      </c>
      <c r="F12" s="42">
        <v>42187.53292824074</v>
      </c>
      <c r="G12" s="131" t="s">
        <v>912</v>
      </c>
      <c r="H12" s="131" t="str">
        <f>IF(ISERROR(VLOOKUP($D12,'Alignment - No Action Needed'!$A$6:$Z$1733,7,FALSE)),"",VLOOKUP($D12,'Alignment - No Action Needed'!$A$6:$Z$1733,7,FALSE))</f>
        <v>G</v>
      </c>
      <c r="I12" s="125">
        <f>IF(ISERROR(VLOOKUP($D12,'Alignment - No Action Needed'!$A$6:$Z$1733,8,FALSE)),"",VLOOKUP($D12,'Alignment - No Action Needed'!$A$6:$Z$1733,8,FALSE))</f>
        <v>-6.1000000000000004E-3</v>
      </c>
      <c r="J12" s="126">
        <f>IF(ISERROR(VLOOKUP($D12,'Alignment - No Action Needed'!$A$6:$Z$1733,9,FALSE)),"",VLOOKUP($D12,'Alignment - No Action Needed'!$A$6:$Z$1733,9,FALSE))</f>
        <v>-6.4000000000000003E-3</v>
      </c>
      <c r="K12" s="52"/>
    </row>
    <row r="13" spans="1:11" s="31" customFormat="1" ht="18" customHeight="1" x14ac:dyDescent="0.25">
      <c r="A13" s="137" t="str">
        <f>IF(ISERROR(VLOOKUP($D13,'Alignment - No Action Needed'!$A$6:$F$1733,5,FALSE)),"",VLOOKUP($D13,'Alignment - No Action Needed'!$A$6:$F$1733,5,FALSE))</f>
        <v>Ohio Valley</v>
      </c>
      <c r="B13" s="138" t="str">
        <f>IF(ISERROR(VLOOKUP($D13,'Alignment - No Action Needed'!$A$6:$F$1733,6,FALSE)),"",VLOOKUP($D13,'Alignment - No Action Needed'!$A$6:$F$1733,6,FALSE))</f>
        <v>Cincinnati</v>
      </c>
      <c r="C13" s="138" t="str">
        <f>IF(ISERROR(VLOOKUP($D13,'Alignment - No Action Needed'!$A$6:$F$1733,2,FALSE)),"",VLOOKUP($D13,'Alignment - No Action Needed'!$A$6:$F$1733,2,FALSE))</f>
        <v>Western Hills</v>
      </c>
      <c r="D13" s="66">
        <v>74</v>
      </c>
      <c r="E13" s="64">
        <v>92.46</v>
      </c>
      <c r="F13" s="42">
        <v>42192.644525462965</v>
      </c>
      <c r="G13" s="131" t="s">
        <v>912</v>
      </c>
      <c r="H13" s="131" t="str">
        <f>IF(ISERROR(VLOOKUP($D13,'Alignment - No Action Needed'!$A$6:$Z$1733,7,FALSE)),"",VLOOKUP($D13,'Alignment - No Action Needed'!$A$6:$Z$1733,7,FALSE))</f>
        <v>R</v>
      </c>
      <c r="I13" s="125">
        <f>IF(ISERROR(VLOOKUP($D13,'Alignment - No Action Needed'!$A$6:$Z$1733,8,FALSE)),"",VLOOKUP($D13,'Alignment - No Action Needed'!$A$6:$Z$1733,8,FALSE))</f>
        <v>-1.1943248556445069E-2</v>
      </c>
      <c r="J13" s="126">
        <f>IF(ISERROR(VLOOKUP($D13,'Alignment - No Action Needed'!$A$6:$Z$1733,9,FALSE)),"",VLOOKUP($D13,'Alignment - No Action Needed'!$A$6:$Z$1733,9,FALSE))</f>
        <v>-1.2108011223247802E-2</v>
      </c>
      <c r="K13" s="52"/>
    </row>
    <row r="14" spans="1:11" s="31" customFormat="1" ht="18" customHeight="1" x14ac:dyDescent="0.25">
      <c r="A14" s="137" t="str">
        <f>IF(ISERROR(VLOOKUP($D14,'Alignment - No Action Needed'!$A$6:$F$1733,5,FALSE)),"",VLOOKUP($D14,'Alignment - No Action Needed'!$A$6:$F$1733,5,FALSE))</f>
        <v>Ohio Valley</v>
      </c>
      <c r="B14" s="138" t="str">
        <f>IF(ISERROR(VLOOKUP($D14,'Alignment - No Action Needed'!$A$6:$F$1733,6,FALSE)),"",VLOOKUP($D14,'Alignment - No Action Needed'!$A$6:$F$1733,6,FALSE))</f>
        <v>Columbus</v>
      </c>
      <c r="C14" s="138" t="str">
        <f>IF(ISERROR(VLOOKUP($D14,'Alignment - No Action Needed'!$A$6:$F$1733,2,FALSE)),"",VLOOKUP($D14,'Alignment - No Action Needed'!$A$6:$F$1733,2,FALSE))</f>
        <v>Columbus/Easton RELO 3069</v>
      </c>
      <c r="D14" s="66">
        <v>3118</v>
      </c>
      <c r="E14" s="64">
        <v>92.34</v>
      </c>
      <c r="F14" s="42">
        <v>42187.382280092592</v>
      </c>
      <c r="G14" s="131" t="s">
        <v>913</v>
      </c>
      <c r="H14" s="131" t="str">
        <f>IF(ISERROR(VLOOKUP($D14,'Alignment - No Action Needed'!$A$6:$Z$1733,7,FALSE)),"",VLOOKUP($D14,'Alignment - No Action Needed'!$A$6:$Z$1733,7,FALSE))</f>
        <v>New</v>
      </c>
      <c r="I14" s="125" t="str">
        <f>IF(ISERROR(VLOOKUP($D14,'Alignment - No Action Needed'!$A$6:$Z$1733,8,FALSE)),"",VLOOKUP($D14,'Alignment - No Action Needed'!$A$6:$Z$1733,8,FALSE))</f>
        <v>N/A</v>
      </c>
      <c r="J14" s="126">
        <f>IF(ISERROR(VLOOKUP($D14,'Alignment - No Action Needed'!$A$6:$Z$1733,9,FALSE)),"",VLOOKUP($D14,'Alignment - No Action Needed'!$A$6:$Z$1733,9,FALSE))</f>
        <v>-4.4999999999999997E-3</v>
      </c>
      <c r="K14" s="52"/>
    </row>
    <row r="15" spans="1:11" s="31" customFormat="1" ht="18" customHeight="1" x14ac:dyDescent="0.25">
      <c r="A15" s="137" t="str">
        <f>IF(ISERROR(VLOOKUP($D15,'Alignment - No Action Needed'!$A$6:$F$1733,5,FALSE)),"",VLOOKUP($D15,'Alignment - No Action Needed'!$A$6:$F$1733,5,FALSE))</f>
        <v>Ohio Valley</v>
      </c>
      <c r="B15" s="138" t="str">
        <f>IF(ISERROR(VLOOKUP($D15,'Alignment - No Action Needed'!$A$6:$F$1733,6,FALSE)),"",VLOOKUP($D15,'Alignment - No Action Needed'!$A$6:$F$1733,6,FALSE))</f>
        <v>Columbus</v>
      </c>
      <c r="C15" s="138" t="str">
        <f>IF(ISERROR(VLOOKUP($D15,'Alignment - No Action Needed'!$A$6:$F$1733,2,FALSE)),"",VLOOKUP($D15,'Alignment - No Action Needed'!$A$6:$F$1733,2,FALSE))</f>
        <v>Tuttle Crossing</v>
      </c>
      <c r="D15" s="66">
        <v>3009</v>
      </c>
      <c r="E15" s="64">
        <v>92.08</v>
      </c>
      <c r="F15" s="42">
        <v>42192.542604166665</v>
      </c>
      <c r="G15" s="131" t="s">
        <v>913</v>
      </c>
      <c r="H15" s="131" t="str">
        <f>IF(ISERROR(VLOOKUP($D15,'Alignment - No Action Needed'!$A$6:$Z$1733,7,FALSE)),"",VLOOKUP($D15,'Alignment - No Action Needed'!$A$6:$Z$1733,7,FALSE))</f>
        <v>G</v>
      </c>
      <c r="I15" s="125">
        <f>IF(ISERROR(VLOOKUP($D15,'Alignment - No Action Needed'!$A$6:$Z$1733,8,FALSE)),"",VLOOKUP($D15,'Alignment - No Action Needed'!$A$6:$Z$1733,8,FALSE))</f>
        <v>-2.2915435381162309E-3</v>
      </c>
      <c r="J15" s="126">
        <f>IF(ISERROR(VLOOKUP($D15,'Alignment - No Action Needed'!$A$6:$Z$1733,9,FALSE)),"",VLOOKUP($D15,'Alignment - No Action Needed'!$A$6:$Z$1733,9,FALSE))</f>
        <v>-3.4500000000000004E-3</v>
      </c>
      <c r="K15" s="52"/>
    </row>
    <row r="16" spans="1:11" s="31" customFormat="1" ht="18" customHeight="1" x14ac:dyDescent="0.25">
      <c r="A16" s="137" t="str">
        <f>IF(ISERROR(VLOOKUP($D16,'Alignment - No Action Needed'!$A$6:$F$1733,5,FALSE)),"",VLOOKUP($D16,'Alignment - No Action Needed'!$A$6:$F$1733,5,FALSE))</f>
        <v>Midwest</v>
      </c>
      <c r="B16" s="138" t="str">
        <f>IF(ISERROR(VLOOKUP($D16,'Alignment - No Action Needed'!$A$6:$F$1733,6,FALSE)),"",VLOOKUP($D16,'Alignment - No Action Needed'!$A$6:$F$1733,6,FALSE))</f>
        <v>Chicago South</v>
      </c>
      <c r="C16" s="138" t="str">
        <f>IF(ISERROR(VLOOKUP($D16,'Alignment - No Action Needed'!$A$6:$F$1733,2,FALSE)),"",VLOOKUP($D16,'Alignment - No Action Needed'!$A$6:$F$1733,2,FALSE))</f>
        <v>Oswego</v>
      </c>
      <c r="D16" s="66">
        <v>312</v>
      </c>
      <c r="E16" s="64">
        <v>92.02</v>
      </c>
      <c r="F16" s="42">
        <v>42187.923379629632</v>
      </c>
      <c r="G16" s="131" t="s">
        <v>912</v>
      </c>
      <c r="H16" s="131" t="str">
        <f>IF(ISERROR(VLOOKUP($D16,'Alignment - No Action Needed'!$A$6:$Z$1733,7,FALSE)),"",VLOOKUP($D16,'Alignment - No Action Needed'!$A$6:$Z$1733,7,FALSE))</f>
        <v>Y</v>
      </c>
      <c r="I16" s="125">
        <f>IF(ISERROR(VLOOKUP($D16,'Alignment - No Action Needed'!$A$6:$Z$1733,8,FALSE)),"",VLOOKUP($D16,'Alignment - No Action Needed'!$A$6:$Z$1733,8,FALSE))</f>
        <v>-7.1993596384380965E-3</v>
      </c>
      <c r="J16" s="126">
        <f>IF(ISERROR(VLOOKUP($D16,'Alignment - No Action Needed'!$A$6:$Z$1733,9,FALSE)),"",VLOOKUP($D16,'Alignment - No Action Needed'!$A$6:$Z$1733,9,FALSE))</f>
        <v>-7.2663601517040889E-3</v>
      </c>
      <c r="K16" s="52"/>
    </row>
    <row r="17" spans="1:11" s="31" customFormat="1" ht="18" customHeight="1" x14ac:dyDescent="0.25">
      <c r="A17" s="137" t="str">
        <f>IF(ISERROR(VLOOKUP($D17,'Alignment - No Action Needed'!$A$6:$F$1733,5,FALSE)),"",VLOOKUP($D17,'Alignment - No Action Needed'!$A$6:$F$1733,5,FALSE))</f>
        <v>Southeast</v>
      </c>
      <c r="B17" s="138" t="str">
        <f>IF(ISERROR(VLOOKUP($D17,'Alignment - No Action Needed'!$A$6:$F$1733,6,FALSE)),"",VLOOKUP($D17,'Alignment - No Action Needed'!$A$6:$F$1733,6,FALSE))</f>
        <v>Florida South</v>
      </c>
      <c r="C17" s="138" t="str">
        <f>IF(ISERROR(VLOOKUP($D17,'Alignment - No Action Needed'!$A$6:$F$1733,2,FALSE)),"",VLOOKUP($D17,'Alignment - No Action Needed'!$A$6:$F$1733,2,FALSE))</f>
        <v>Pembroke Pines</v>
      </c>
      <c r="D17" s="66">
        <v>669</v>
      </c>
      <c r="E17" s="64">
        <v>91.97</v>
      </c>
      <c r="F17" s="42">
        <v>42187.683425925927</v>
      </c>
      <c r="G17" s="131" t="s">
        <v>912</v>
      </c>
      <c r="H17" s="131" t="str">
        <f>IF(ISERROR(VLOOKUP($D17,'Alignment - No Action Needed'!$A$6:$Z$1733,7,FALSE)),"",VLOOKUP($D17,'Alignment - No Action Needed'!$A$6:$Z$1733,7,FALSE))</f>
        <v>R</v>
      </c>
      <c r="I17" s="125">
        <f>IF(ISERROR(VLOOKUP($D17,'Alignment - No Action Needed'!$A$6:$Z$1733,8,FALSE)),"",VLOOKUP($D17,'Alignment - No Action Needed'!$A$6:$Z$1733,8,FALSE))</f>
        <v>-2.2415847063525809E-2</v>
      </c>
      <c r="J17" s="126">
        <f>IF(ISERROR(VLOOKUP($D17,'Alignment - No Action Needed'!$A$6:$Z$1733,9,FALSE)),"",VLOOKUP($D17,'Alignment - No Action Needed'!$A$6:$Z$1733,9,FALSE))</f>
        <v>-1.4500000000000001E-2</v>
      </c>
      <c r="K17" s="52"/>
    </row>
    <row r="18" spans="1:11" s="31" customFormat="1" ht="18" customHeight="1" x14ac:dyDescent="0.25">
      <c r="A18" s="137" t="str">
        <f>IF(ISERROR(VLOOKUP($D18,'Alignment - No Action Needed'!$A$6:$F$1733,5,FALSE)),"",VLOOKUP($D18,'Alignment - No Action Needed'!$A$6:$F$1733,5,FALSE))</f>
        <v>Midwest</v>
      </c>
      <c r="B18" s="138" t="str">
        <f>IF(ISERROR(VLOOKUP($D18,'Alignment - No Action Needed'!$A$6:$F$1733,6,FALSE)),"",VLOOKUP($D18,'Alignment - No Action Needed'!$A$6:$F$1733,6,FALSE))</f>
        <v>Wisconsin</v>
      </c>
      <c r="C18" s="138" t="str">
        <f>IF(ISERROR(VLOOKUP($D18,'Alignment - No Action Needed'!$A$6:$F$1733,2,FALSE)),"",VLOOKUP($D18,'Alignment - No Action Needed'!$A$6:$F$1733,2,FALSE))</f>
        <v>West Madison</v>
      </c>
      <c r="D18" s="66">
        <v>178</v>
      </c>
      <c r="E18" s="64">
        <v>91.67</v>
      </c>
      <c r="F18" s="42">
        <v>42192.505046296297</v>
      </c>
      <c r="G18" s="131" t="s">
        <v>912</v>
      </c>
      <c r="H18" s="131" t="str">
        <f>IF(ISERROR(VLOOKUP($D18,'Alignment - No Action Needed'!$A$6:$Z$1733,7,FALSE)),"",VLOOKUP($D18,'Alignment - No Action Needed'!$A$6:$Z$1733,7,FALSE))</f>
        <v>Y</v>
      </c>
      <c r="I18" s="125">
        <f>IF(ISERROR(VLOOKUP($D18,'Alignment - No Action Needed'!$A$6:$Z$1733,8,FALSE)),"",VLOOKUP($D18,'Alignment - No Action Needed'!$A$6:$Z$1733,8,FALSE))</f>
        <v>-5.4000000000000003E-3</v>
      </c>
      <c r="J18" s="126">
        <f>IF(ISERROR(VLOOKUP($D18,'Alignment - No Action Needed'!$A$6:$Z$1733,9,FALSE)),"",VLOOKUP($D18,'Alignment - No Action Needed'!$A$6:$Z$1733,9,FALSE))</f>
        <v>-6.4000000000000003E-3</v>
      </c>
      <c r="K18" s="52"/>
    </row>
    <row r="19" spans="1:11" s="31" customFormat="1" ht="18" customHeight="1" x14ac:dyDescent="0.25">
      <c r="A19" s="137" t="str">
        <f>IF(ISERROR(VLOOKUP($D19,'Alignment - No Action Needed'!$A$6:$F$1733,5,FALSE)),"",VLOOKUP($D19,'Alignment - No Action Needed'!$A$6:$F$1733,5,FALSE))</f>
        <v>Southeast</v>
      </c>
      <c r="B19" s="138" t="str">
        <f>IF(ISERROR(VLOOKUP($D19,'Alignment - No Action Needed'!$A$6:$F$1733,6,FALSE)),"",VLOOKUP($D19,'Alignment - No Action Needed'!$A$6:$F$1733,6,FALSE))</f>
        <v>Florida North</v>
      </c>
      <c r="C19" s="138" t="str">
        <f>IF(ISERROR(VLOOKUP($D19,'Alignment - No Action Needed'!$A$6:$F$1733,2,FALSE)),"",VLOOKUP($D19,'Alignment - No Action Needed'!$A$6:$F$1733,2,FALSE))</f>
        <v>Orlando (East Colonial)</v>
      </c>
      <c r="D19" s="66">
        <v>1179</v>
      </c>
      <c r="E19" s="64">
        <v>91.49</v>
      </c>
      <c r="F19" s="42">
        <v>42193.900462962964</v>
      </c>
      <c r="G19" s="131" t="s">
        <v>912</v>
      </c>
      <c r="H19" s="131" t="str">
        <f>IF(ISERROR(VLOOKUP($D19,'Alignment - No Action Needed'!$A$6:$Z$1733,7,FALSE)),"",VLOOKUP($D19,'Alignment - No Action Needed'!$A$6:$Z$1733,7,FALSE))</f>
        <v>Y</v>
      </c>
      <c r="I19" s="125">
        <f>IF(ISERROR(VLOOKUP($D19,'Alignment - No Action Needed'!$A$6:$Z$1733,8,FALSE)),"",VLOOKUP($D19,'Alignment - No Action Needed'!$A$6:$Z$1733,8,FALSE))</f>
        <v>-1.09E-2</v>
      </c>
      <c r="J19" s="126">
        <f>IF(ISERROR(VLOOKUP($D19,'Alignment - No Action Needed'!$A$6:$Z$1733,9,FALSE)),"",VLOOKUP($D19,'Alignment - No Action Needed'!$A$6:$Z$1733,9,FALSE))</f>
        <v>-8.3999999999999995E-3</v>
      </c>
      <c r="K19" s="52"/>
    </row>
    <row r="20" spans="1:11" s="31" customFormat="1" ht="18" customHeight="1" x14ac:dyDescent="0.25">
      <c r="A20" s="137" t="str">
        <f>IF(ISERROR(VLOOKUP($D20,'Alignment - No Action Needed'!$A$6:$F$1733,5,FALSE)),"",VLOOKUP($D20,'Alignment - No Action Needed'!$A$6:$F$1733,5,FALSE))</f>
        <v>Southwest</v>
      </c>
      <c r="B20" s="138" t="str">
        <f>IF(ISERROR(VLOOKUP($D20,'Alignment - No Action Needed'!$A$6:$F$1733,6,FALSE)),"",VLOOKUP($D20,'Alignment - No Action Needed'!$A$6:$F$1733,6,FALSE))</f>
        <v>Alabama</v>
      </c>
      <c r="C20" s="138" t="str">
        <f>IF(ISERROR(VLOOKUP($D20,'Alignment - No Action Needed'!$A$6:$F$1733,2,FALSE)),"",VLOOKUP($D20,'Alignment - No Action Needed'!$A$6:$F$1733,2,FALSE))</f>
        <v>Oxford</v>
      </c>
      <c r="D20" s="66">
        <v>385</v>
      </c>
      <c r="E20" s="66">
        <v>91.18</v>
      </c>
      <c r="F20" s="42">
        <v>42187.721400462964</v>
      </c>
      <c r="G20" s="131" t="s">
        <v>912</v>
      </c>
      <c r="H20" s="131" t="str">
        <f>IF(ISERROR(VLOOKUP($D20,'Alignment - No Action Needed'!$A$6:$Z$1733,7,FALSE)),"",VLOOKUP($D20,'Alignment - No Action Needed'!$A$6:$Z$1733,7,FALSE))</f>
        <v>G</v>
      </c>
      <c r="I20" s="125">
        <f>IF(ISERROR(VLOOKUP($D20,'Alignment - No Action Needed'!$A$6:$Z$1733,8,FALSE)),"",VLOOKUP($D20,'Alignment - No Action Needed'!$A$6:$Z$1733,8,FALSE))</f>
        <v>-5.7999999999999996E-3</v>
      </c>
      <c r="J20" s="126">
        <f>IF(ISERROR(VLOOKUP($D20,'Alignment - No Action Needed'!$A$6:$Z$1733,9,FALSE)),"",VLOOKUP($D20,'Alignment - No Action Needed'!$A$6:$Z$1733,9,FALSE))</f>
        <v>-7.7000000000000002E-3</v>
      </c>
      <c r="K20" s="52"/>
    </row>
    <row r="21" spans="1:11" s="31" customFormat="1" ht="18" customHeight="1" x14ac:dyDescent="0.25">
      <c r="A21" s="137" t="str">
        <f>IF(ISERROR(VLOOKUP($D21,'Alignment - No Action Needed'!$A$6:$F$1733,5,FALSE)),"",VLOOKUP($D21,'Alignment - No Action Needed'!$A$6:$F$1733,5,FALSE))</f>
        <v>Northeast</v>
      </c>
      <c r="B21" s="138" t="str">
        <f>IF(ISERROR(VLOOKUP($D21,'Alignment - No Action Needed'!$A$6:$F$1733,6,FALSE)),"",VLOOKUP($D21,'Alignment - No Action Needed'!$A$6:$F$1733,6,FALSE))</f>
        <v>Hartford</v>
      </c>
      <c r="C21" s="138" t="str">
        <f>IF(ISERROR(VLOOKUP($D21,'Alignment - No Action Needed'!$A$6:$F$1733,2,FALSE)),"",VLOOKUP($D21,'Alignment - No Action Needed'!$A$6:$F$1733,2,FALSE))</f>
        <v>Meriden</v>
      </c>
      <c r="D21" s="66">
        <v>169</v>
      </c>
      <c r="E21" s="66">
        <v>90.82</v>
      </c>
      <c r="F21" s="42">
        <v>42192.593900462962</v>
      </c>
      <c r="G21" s="131" t="s">
        <v>912</v>
      </c>
      <c r="H21" s="131" t="str">
        <f>IF(ISERROR(VLOOKUP($D21,'Alignment - No Action Needed'!$A$6:$Z$1733,7,FALSE)),"",VLOOKUP($D21,'Alignment - No Action Needed'!$A$6:$Z$1733,7,FALSE))</f>
        <v>G</v>
      </c>
      <c r="I21" s="125">
        <f>IF(ISERROR(VLOOKUP($D21,'Alignment - No Action Needed'!$A$6:$Z$1733,8,FALSE)),"",VLOOKUP($D21,'Alignment - No Action Needed'!$A$6:$Z$1733,8,FALSE))</f>
        <v>-6.1000000000000004E-3</v>
      </c>
      <c r="J21" s="126">
        <f>IF(ISERROR(VLOOKUP($D21,'Alignment - No Action Needed'!$A$6:$Z$1733,9,FALSE)),"",VLOOKUP($D21,'Alignment - No Action Needed'!$A$6:$Z$1733,9,FALSE))</f>
        <v>-6.1999999999999998E-3</v>
      </c>
      <c r="K21" s="52"/>
    </row>
    <row r="22" spans="1:11" s="31" customFormat="1" ht="18" customHeight="1" x14ac:dyDescent="0.25">
      <c r="A22" s="137" t="str">
        <f>IF(ISERROR(VLOOKUP($D22,'Alignment - No Action Needed'!$A$6:$F$1733,5,FALSE)),"",VLOOKUP($D22,'Alignment - No Action Needed'!$A$6:$F$1733,5,FALSE))</f>
        <v>Midwest</v>
      </c>
      <c r="B22" s="138" t="str">
        <f>IF(ISERROR(VLOOKUP($D22,'Alignment - No Action Needed'!$A$6:$F$1733,6,FALSE)),"",VLOOKUP($D22,'Alignment - No Action Needed'!$A$6:$F$1733,6,FALSE))</f>
        <v>Wisconsin</v>
      </c>
      <c r="C22" s="138" t="str">
        <f>IF(ISERROR(VLOOKUP($D22,'Alignment - No Action Needed'!$A$6:$F$1733,2,FALSE)),"",VLOOKUP($D22,'Alignment - No Action Needed'!$A$6:$F$1733,2,FALSE))</f>
        <v>Greenfield</v>
      </c>
      <c r="D22" s="66">
        <v>3004</v>
      </c>
      <c r="E22" s="66">
        <v>90.78</v>
      </c>
      <c r="F22" s="42">
        <v>42191.645138888889</v>
      </c>
      <c r="G22" s="131" t="s">
        <v>913</v>
      </c>
      <c r="H22" s="131" t="str">
        <f>IF(ISERROR(VLOOKUP($D22,'Alignment - No Action Needed'!$A$6:$Z$1733,7,FALSE)),"",VLOOKUP($D22,'Alignment - No Action Needed'!$A$6:$Z$1733,7,FALSE))</f>
        <v>G</v>
      </c>
      <c r="I22" s="125">
        <f>IF(ISERROR(VLOOKUP($D22,'Alignment - No Action Needed'!$A$6:$Z$1733,8,FALSE)),"",VLOOKUP($D22,'Alignment - No Action Needed'!$A$6:$Z$1733,8,FALSE))</f>
        <v>-3.4264431620149307E-4</v>
      </c>
      <c r="J22" s="126">
        <f>IF(ISERROR(VLOOKUP($D22,'Alignment - No Action Needed'!$A$6:$Z$1733,9,FALSE)),"",VLOOKUP($D22,'Alignment - No Action Needed'!$A$6:$Z$1733,9,FALSE))</f>
        <v>-3.4500000000000004E-3</v>
      </c>
      <c r="K22" s="52"/>
    </row>
    <row r="23" spans="1:11" s="31" customFormat="1" ht="18" customHeight="1" x14ac:dyDescent="0.25">
      <c r="A23" s="137" t="str">
        <f>IF(ISERROR(VLOOKUP($D23,'Alignment - No Action Needed'!$A$6:$F$1733,5,FALSE)),"",VLOOKUP($D23,'Alignment - No Action Needed'!$A$6:$F$1733,5,FALSE))</f>
        <v>Southeast</v>
      </c>
      <c r="B23" s="138" t="str">
        <f>IF(ISERROR(VLOOKUP($D23,'Alignment - No Action Needed'!$A$6:$F$1733,6,FALSE)),"",VLOOKUP($D23,'Alignment - No Action Needed'!$A$6:$F$1733,6,FALSE))</f>
        <v>Charlotte</v>
      </c>
      <c r="C23" s="138" t="str">
        <f>IF(ISERROR(VLOOKUP($D23,'Alignment - No Action Needed'!$A$6:$F$1733,2,FALSE)),"",VLOOKUP($D23,'Alignment - No Action Needed'!$A$6:$F$1733,2,FALSE))</f>
        <v>Northlake</v>
      </c>
      <c r="D23" s="66">
        <v>218</v>
      </c>
      <c r="E23" s="66">
        <v>90.76</v>
      </c>
      <c r="F23" s="42">
        <v>42192.579328703701</v>
      </c>
      <c r="G23" s="131" t="s">
        <v>912</v>
      </c>
      <c r="H23" s="131" t="str">
        <f>IF(ISERROR(VLOOKUP($D23,'Alignment - No Action Needed'!$A$6:$Z$1733,7,FALSE)),"",VLOOKUP($D23,'Alignment - No Action Needed'!$A$6:$Z$1733,7,FALSE))</f>
        <v>G</v>
      </c>
      <c r="I23" s="125">
        <f>IF(ISERROR(VLOOKUP($D23,'Alignment - No Action Needed'!$A$6:$Z$1733,8,FALSE)),"",VLOOKUP($D23,'Alignment - No Action Needed'!$A$6:$Z$1733,8,FALSE))</f>
        <v>-4.1000000000000003E-3</v>
      </c>
      <c r="J23" s="126">
        <f>IF(ISERROR(VLOOKUP($D23,'Alignment - No Action Needed'!$A$6:$Z$1733,9,FALSE)),"",VLOOKUP($D23,'Alignment - No Action Needed'!$A$6:$Z$1733,9,FALSE))</f>
        <v>-4.4999999999999997E-3</v>
      </c>
      <c r="K23" s="52"/>
    </row>
    <row r="24" spans="1:11" s="31" customFormat="1" ht="18" customHeight="1" x14ac:dyDescent="0.25">
      <c r="A24" s="137" t="str">
        <f>IF(ISERROR(VLOOKUP($D24,'Alignment - No Action Needed'!$A$6:$F$1733,5,FALSE)),"",VLOOKUP($D24,'Alignment - No Action Needed'!$A$6:$F$1733,5,FALSE))</f>
        <v>Ohio Valley</v>
      </c>
      <c r="B24" s="138" t="str">
        <f>IF(ISERROR(VLOOKUP($D24,'Alignment - No Action Needed'!$A$6:$F$1733,6,FALSE)),"",VLOOKUP($D24,'Alignment - No Action Needed'!$A$6:$F$1733,6,FALSE))</f>
        <v>Eastern PA</v>
      </c>
      <c r="C24" s="138" t="str">
        <f>IF(ISERROR(VLOOKUP($D24,'Alignment - No Action Needed'!$A$6:$F$1733,2,FALSE)),"",VLOOKUP($D24,'Alignment - No Action Needed'!$A$6:$F$1733,2,FALSE))</f>
        <v>Stroudsburg</v>
      </c>
      <c r="D24" s="66">
        <v>1127</v>
      </c>
      <c r="E24" s="141">
        <v>90.7</v>
      </c>
      <c r="F24" s="42">
        <v>42192.683912037035</v>
      </c>
      <c r="G24" s="131" t="s">
        <v>912</v>
      </c>
      <c r="H24" s="131" t="str">
        <f>IF(ISERROR(VLOOKUP($D24,'Alignment - No Action Needed'!$A$6:$Z$1733,7,FALSE)),"",VLOOKUP($D24,'Alignment - No Action Needed'!$A$6:$Z$1733,7,FALSE))</f>
        <v>G</v>
      </c>
      <c r="I24" s="125">
        <f>IF(ISERROR(VLOOKUP($D24,'Alignment - No Action Needed'!$A$6:$Z$1733,8,FALSE)),"",VLOOKUP($D24,'Alignment - No Action Needed'!$A$6:$Z$1733,8,FALSE))</f>
        <v>-2.5999999999999999E-3</v>
      </c>
      <c r="J24" s="126">
        <f>IF(ISERROR(VLOOKUP($D24,'Alignment - No Action Needed'!$A$6:$Z$1733,9,FALSE)),"",VLOOKUP($D24,'Alignment - No Action Needed'!$A$6:$Z$1733,9,FALSE))</f>
        <v>-5.7999999999999996E-3</v>
      </c>
      <c r="K24" s="52"/>
    </row>
    <row r="25" spans="1:11" s="31" customFormat="1" ht="18" customHeight="1" thickBot="1" x14ac:dyDescent="0.3">
      <c r="A25" s="203" t="str">
        <f>IF(ISERROR(VLOOKUP($D25,'Alignment - No Action Needed'!$A$6:$F$1733,5,FALSE)),"",VLOOKUP($D25,'Alignment - No Action Needed'!$A$6:$F$1733,5,FALSE))</f>
        <v>Ohio Valley</v>
      </c>
      <c r="B25" s="204" t="str">
        <f>IF(ISERROR(VLOOKUP($D25,'Alignment - No Action Needed'!$A$6:$F$1733,6,FALSE)),"",VLOOKUP($D25,'Alignment - No Action Needed'!$A$6:$F$1733,6,FALSE))</f>
        <v>Louisville</v>
      </c>
      <c r="C25" s="204" t="str">
        <f>IF(ISERROR(VLOOKUP($D25,'Alignment - No Action Needed'!$A$6:$F$1733,2,FALSE)),"",VLOOKUP($D25,'Alignment - No Action Needed'!$A$6:$F$1733,2,FALSE))</f>
        <v>Frankfort</v>
      </c>
      <c r="D25" s="65">
        <v>1140</v>
      </c>
      <c r="E25" s="142">
        <v>75.8</v>
      </c>
      <c r="F25" s="39">
        <v>42192.844837962963</v>
      </c>
      <c r="G25" s="132" t="s">
        <v>912</v>
      </c>
      <c r="H25" s="132" t="str">
        <f>IF(ISERROR(VLOOKUP($D25,'Alignment - No Action Needed'!$A$6:$Z$1733,7,FALSE)),"",VLOOKUP($D25,'Alignment - No Action Needed'!$A$6:$Z$1733,7,FALSE))</f>
        <v>G</v>
      </c>
      <c r="I25" s="127">
        <f>IF(ISERROR(VLOOKUP($D25,'Alignment - No Action Needed'!$A$6:$Z$1733,8,FALSE)),"",VLOOKUP($D25,'Alignment - No Action Needed'!$A$6:$Z$1733,8,FALSE))</f>
        <v>-8.2000000000000007E-3</v>
      </c>
      <c r="J25" s="128">
        <f>IF(ISERROR(VLOOKUP($D25,'Alignment - No Action Needed'!$A$6:$Z$1733,9,FALSE)),"",VLOOKUP($D25,'Alignment - No Action Needed'!$A$6:$Z$1733,9,FALSE))</f>
        <v>-8.3999999999999995E-3</v>
      </c>
      <c r="K25" s="52"/>
    </row>
    <row r="26" spans="1:11" s="29" customFormat="1" ht="30" customHeight="1" thickBot="1" x14ac:dyDescent="0.3">
      <c r="A26" s="37"/>
      <c r="B26" s="37"/>
      <c r="C26" s="37"/>
      <c r="D26" s="37"/>
      <c r="E26" s="37"/>
      <c r="F26" s="37"/>
      <c r="G26" s="37"/>
      <c r="H26" s="37"/>
      <c r="I26" s="37"/>
      <c r="J26" s="41"/>
      <c r="K26" s="41"/>
    </row>
    <row r="27" spans="1:11" ht="37.5" customHeight="1" thickBot="1" x14ac:dyDescent="0.4">
      <c r="A27" s="149" t="s">
        <v>143</v>
      </c>
      <c r="B27" s="150"/>
      <c r="C27" s="53"/>
      <c r="D27" s="53"/>
      <c r="E27" s="53"/>
      <c r="F27" s="53"/>
      <c r="G27" s="53"/>
      <c r="H27" s="53"/>
      <c r="I27" s="53"/>
      <c r="J27" s="53"/>
      <c r="K27" s="54"/>
    </row>
    <row r="28" spans="1:11" ht="19.5" customHeight="1" thickBot="1" x14ac:dyDescent="0.3">
      <c r="A28" s="61" t="s">
        <v>5</v>
      </c>
      <c r="B28" s="59" t="s">
        <v>142</v>
      </c>
      <c r="C28" s="59" t="s">
        <v>65</v>
      </c>
      <c r="D28" s="59" t="s">
        <v>64</v>
      </c>
      <c r="E28" s="59" t="s">
        <v>1</v>
      </c>
      <c r="F28" s="59" t="s">
        <v>144</v>
      </c>
      <c r="G28" s="195" t="s">
        <v>12</v>
      </c>
      <c r="H28" s="196"/>
      <c r="I28" s="196"/>
      <c r="J28" s="196"/>
      <c r="K28" s="197"/>
    </row>
    <row r="29" spans="1:11" ht="29.25" customHeight="1" x14ac:dyDescent="0.25">
      <c r="A29" s="102" t="str">
        <f>IF(ISERROR(VLOOKUP($D29,'Alignment - No Action Needed'!$A$6:$F$1733,5,FALSE)),"",VLOOKUP($D29,'Alignment - No Action Needed'!$A$6:$F$1733,5,FALSE))</f>
        <v>Southwest</v>
      </c>
      <c r="B29" s="44" t="str">
        <f>IF(ISERROR(VLOOKUP($D29,'Alignment - No Action Needed'!$A$6:$F$1733,6,FALSE)),"",VLOOKUP($D29,'Alignment - No Action Needed'!$A$6:$F$1733,6,FALSE))</f>
        <v>Dallas</v>
      </c>
      <c r="C29" s="44" t="str">
        <f>IF(ISERROR(VLOOKUP($D29,'Alignment - No Action Needed'!$A$6:$F$1733,2,FALSE)),"",VLOOKUP($D29,'Alignment - No Action Needed'!$A$6:$F$1733,2,FALSE))</f>
        <v>Park Lane</v>
      </c>
      <c r="D29" s="63">
        <v>709</v>
      </c>
      <c r="E29" s="45">
        <v>42193.677083333336</v>
      </c>
      <c r="F29" s="206" t="s">
        <v>914</v>
      </c>
      <c r="G29" s="192" t="s">
        <v>937</v>
      </c>
      <c r="H29" s="193"/>
      <c r="I29" s="193"/>
      <c r="J29" s="193"/>
      <c r="K29" s="194"/>
    </row>
    <row r="30" spans="1:11" s="31" customFormat="1" ht="29.25" customHeight="1" x14ac:dyDescent="0.25">
      <c r="A30" s="103" t="str">
        <f>IF(ISERROR(VLOOKUP($D30,'Alignment - No Action Needed'!$A$6:$F$1733,5,FALSE)),"",VLOOKUP($D30,'Alignment - No Action Needed'!$A$6:$F$1733,5,FALSE))</f>
        <v>Northeast</v>
      </c>
      <c r="B30" s="35" t="str">
        <f>IF(ISERROR(VLOOKUP($D30,'Alignment - No Action Needed'!$A$6:$F$1733,6,FALSE)),"",VLOOKUP($D30,'Alignment - No Action Needed'!$A$6:$F$1733,6,FALSE))</f>
        <v>New Jersey North</v>
      </c>
      <c r="C30" s="35" t="str">
        <f>IF(ISERROR(VLOOKUP($D30,'Alignment - No Action Needed'!$A$6:$F$1733,2,FALSE)),"",VLOOKUP($D30,'Alignment - No Action Needed'!$A$6:$F$1733,2,FALSE))</f>
        <v>Union, NJ</v>
      </c>
      <c r="D30" s="64">
        <v>1032</v>
      </c>
      <c r="E30" s="38">
        <v>42192.583333333336</v>
      </c>
      <c r="F30" s="205" t="s">
        <v>915</v>
      </c>
      <c r="G30" s="168"/>
      <c r="H30" s="169"/>
      <c r="I30" s="169"/>
      <c r="J30" s="169"/>
      <c r="K30" s="170"/>
    </row>
    <row r="31" spans="1:11" s="31" customFormat="1" ht="29.25" customHeight="1" thickBot="1" x14ac:dyDescent="0.3">
      <c r="A31" s="104" t="str">
        <f>IF(ISERROR(VLOOKUP($D31,'Alignment - No Action Needed'!$A$6:$F$1733,5,FALSE)),"",VLOOKUP($D31,'Alignment - No Action Needed'!$A$6:$F$1733,5,FALSE))</f>
        <v>Midwest</v>
      </c>
      <c r="B31" s="36" t="str">
        <f>IF(ISERROR(VLOOKUP($D31,'Alignment - No Action Needed'!$A$6:$F$1733,6,FALSE)),"",VLOOKUP($D31,'Alignment - No Action Needed'!$A$6:$F$1733,6,FALSE))</f>
        <v>Omaha</v>
      </c>
      <c r="C31" s="36" t="str">
        <f>IF(ISERROR(VLOOKUP($D31,'Alignment - No Action Needed'!$A$6:$F$1733,2,FALSE)),"",VLOOKUP($D31,'Alignment - No Action Needed'!$A$6:$F$1733,2,FALSE))</f>
        <v>West Des Moines</v>
      </c>
      <c r="D31" s="65">
        <v>1101</v>
      </c>
      <c r="E31" s="39">
        <v>42191.416666666664</v>
      </c>
      <c r="F31" s="207" t="s">
        <v>916</v>
      </c>
      <c r="G31" s="198" t="s">
        <v>917</v>
      </c>
      <c r="H31" s="199"/>
      <c r="I31" s="199"/>
      <c r="J31" s="199"/>
      <c r="K31" s="200"/>
    </row>
    <row r="32" spans="1:11" s="29" customFormat="1" ht="30" customHeight="1" thickBot="1" x14ac:dyDescent="0.3"/>
    <row r="33" spans="1:14" ht="31.5" customHeight="1" thickBot="1" x14ac:dyDescent="0.4">
      <c r="A33" s="40" t="s">
        <v>4</v>
      </c>
      <c r="B33" s="114"/>
      <c r="C33" s="32"/>
      <c r="D33" s="32"/>
      <c r="E33" s="32"/>
      <c r="F33" s="32"/>
      <c r="G33" s="32"/>
      <c r="H33" s="32"/>
      <c r="I33" s="32"/>
      <c r="J33" s="32"/>
      <c r="K33" s="33"/>
    </row>
    <row r="34" spans="1:14" ht="32.25" customHeight="1" thickBot="1" x14ac:dyDescent="0.3">
      <c r="A34" s="67" t="s">
        <v>5</v>
      </c>
      <c r="B34" s="67" t="s">
        <v>6</v>
      </c>
      <c r="C34" s="60" t="s">
        <v>7</v>
      </c>
      <c r="D34" s="60" t="s">
        <v>8</v>
      </c>
      <c r="E34" s="60" t="s">
        <v>69</v>
      </c>
      <c r="F34" s="68" t="s">
        <v>152</v>
      </c>
      <c r="G34" s="183" t="s">
        <v>12</v>
      </c>
      <c r="H34" s="184"/>
      <c r="I34" s="184"/>
      <c r="J34" s="184"/>
      <c r="K34" s="185"/>
      <c r="L34" s="31"/>
      <c r="M34" s="31"/>
      <c r="N34" s="31"/>
    </row>
    <row r="35" spans="1:14" ht="18.75" customHeight="1" x14ac:dyDescent="0.25">
      <c r="A35" s="109" t="s">
        <v>59</v>
      </c>
      <c r="B35" s="115">
        <f>VLOOKUP($A35,'Investigations by Region'!$H$6:$M$25,2,FALSE)</f>
        <v>1</v>
      </c>
      <c r="C35" s="88">
        <f>VLOOKUP($A35,'Investigations by Region'!$H$6:$M$25,3,FALSE)</f>
        <v>0</v>
      </c>
      <c r="D35" s="88">
        <f>VLOOKUP($A35,'Investigations by Region'!$H$6:$M$25,4,FALSE)</f>
        <v>0</v>
      </c>
      <c r="E35" s="88">
        <f>VLOOKUP($A35,'Investigations by Region'!$H$6:$M$25,5,FALSE)</f>
        <v>1</v>
      </c>
      <c r="F35" s="89">
        <f>VLOOKUP($A35,'Investigations by Region'!$H$6:$M$25,6,FALSE)</f>
        <v>2500</v>
      </c>
      <c r="G35" s="180" t="s">
        <v>934</v>
      </c>
      <c r="H35" s="181"/>
      <c r="I35" s="181"/>
      <c r="J35" s="181"/>
      <c r="K35" s="182"/>
      <c r="L35" s="31"/>
    </row>
    <row r="36" spans="1:14" ht="18.75" customHeight="1" x14ac:dyDescent="0.25">
      <c r="A36" s="110" t="s">
        <v>62</v>
      </c>
      <c r="B36" s="116">
        <f>VLOOKUP($A36,'Investigations by Region'!$H$6:$M$25,2,FALSE)</f>
        <v>1</v>
      </c>
      <c r="C36" s="90">
        <f>VLOOKUP($A36,'Investigations by Region'!$H$6:$M$25,3,FALSE)</f>
        <v>0</v>
      </c>
      <c r="D36" s="90">
        <f>VLOOKUP($A36,'Investigations by Region'!$H$6:$M$25,4,FALSE)</f>
        <v>0</v>
      </c>
      <c r="E36" s="90">
        <f>VLOOKUP($A36,'Investigations by Region'!$H$6:$M$25,5,FALSE)</f>
        <v>1</v>
      </c>
      <c r="F36" s="91">
        <f>VLOOKUP($A36,'Investigations by Region'!$H$6:$M$25,6,FALSE)</f>
        <v>1090</v>
      </c>
      <c r="G36" s="177" t="s">
        <v>924</v>
      </c>
      <c r="H36" s="178"/>
      <c r="I36" s="178"/>
      <c r="J36" s="178"/>
      <c r="K36" s="179"/>
      <c r="L36" s="25"/>
    </row>
    <row r="37" spans="1:14" s="28" customFormat="1" ht="18.75" customHeight="1" x14ac:dyDescent="0.25">
      <c r="A37" s="111" t="s">
        <v>60</v>
      </c>
      <c r="B37" s="116">
        <f>VLOOKUP($A37,'Investigations by Region'!$H$6:$M$25,2,FALSE)</f>
        <v>2</v>
      </c>
      <c r="C37" s="90">
        <f>VLOOKUP($A37,'Investigations by Region'!$H$6:$M$25,3,FALSE)</f>
        <v>0</v>
      </c>
      <c r="D37" s="90">
        <f>VLOOKUP($A37,'Investigations by Region'!$H$6:$M$25,4,FALSE)</f>
        <v>1</v>
      </c>
      <c r="E37" s="90">
        <f>VLOOKUP($A37,'Investigations by Region'!$H$6:$M$25,5,FALSE)</f>
        <v>3</v>
      </c>
      <c r="F37" s="91">
        <f>VLOOKUP($A37,'Investigations by Region'!$H$6:$M$25,6,FALSE)</f>
        <v>105.4875</v>
      </c>
      <c r="G37" s="177" t="s">
        <v>935</v>
      </c>
      <c r="H37" s="178"/>
      <c r="I37" s="178"/>
      <c r="J37" s="178"/>
      <c r="K37" s="179"/>
      <c r="L37" s="34"/>
      <c r="M37" s="34"/>
      <c r="N37" s="34"/>
    </row>
    <row r="38" spans="1:14" ht="18.75" customHeight="1" x14ac:dyDescent="0.25">
      <c r="A38" s="111" t="s">
        <v>133</v>
      </c>
      <c r="B38" s="116">
        <f>VLOOKUP($A38,'Investigations by Region'!$H$6:$M$25,2,FALSE)</f>
        <v>0</v>
      </c>
      <c r="C38" s="90">
        <f>VLOOKUP($A38,'Investigations by Region'!$H$6:$M$25,3,FALSE)</f>
        <v>0</v>
      </c>
      <c r="D38" s="90">
        <f>VLOOKUP($A38,'Investigations by Region'!$H$6:$M$25,4,FALSE)</f>
        <v>0</v>
      </c>
      <c r="E38" s="90">
        <f>VLOOKUP($A38,'Investigations by Region'!$H$6:$M$25,5,FALSE)</f>
        <v>0</v>
      </c>
      <c r="F38" s="91">
        <f>VLOOKUP($A38,'Investigations by Region'!$H$6:$M$25,6,FALSE)</f>
        <v>0</v>
      </c>
      <c r="G38" s="177"/>
      <c r="H38" s="178"/>
      <c r="I38" s="178"/>
      <c r="J38" s="178"/>
      <c r="K38" s="179"/>
    </row>
    <row r="39" spans="1:14" ht="18.75" customHeight="1" x14ac:dyDescent="0.25">
      <c r="A39" s="110" t="s">
        <v>93</v>
      </c>
      <c r="B39" s="116">
        <f>VLOOKUP($A39,'Investigations by Region'!$H$6:$M$25,2,FALSE)</f>
        <v>2</v>
      </c>
      <c r="C39" s="90">
        <f>VLOOKUP($A39,'Investigations by Region'!$H$6:$M$25,3,FALSE)</f>
        <v>0</v>
      </c>
      <c r="D39" s="90">
        <f>VLOOKUP($A39,'Investigations by Region'!$H$6:$M$25,4,FALSE)</f>
        <v>0</v>
      </c>
      <c r="E39" s="90">
        <f>VLOOKUP($A39,'Investigations by Region'!$H$6:$M$25,5,FALSE)</f>
        <v>2</v>
      </c>
      <c r="F39" s="91">
        <f>VLOOKUP($A39,'Investigations by Region'!$H$6:$M$25,6,FALSE)</f>
        <v>40</v>
      </c>
      <c r="G39" s="189" t="s">
        <v>936</v>
      </c>
      <c r="H39" s="190"/>
      <c r="I39" s="190"/>
      <c r="J39" s="190"/>
      <c r="K39" s="191"/>
    </row>
    <row r="40" spans="1:14" ht="18.75" customHeight="1" x14ac:dyDescent="0.25">
      <c r="A40" s="111" t="s">
        <v>94</v>
      </c>
      <c r="B40" s="116">
        <f>VLOOKUP($A40,'Investigations by Region'!$H$6:$M$25,2,FALSE)</f>
        <v>0</v>
      </c>
      <c r="C40" s="90">
        <f>VLOOKUP($A40,'Investigations by Region'!$H$6:$M$25,3,FALSE)</f>
        <v>0</v>
      </c>
      <c r="D40" s="90">
        <f>VLOOKUP($A40,'Investigations by Region'!$H$6:$M$25,4,FALSE)</f>
        <v>0</v>
      </c>
      <c r="E40" s="90">
        <f>VLOOKUP($A40,'Investigations by Region'!$H$6:$M$25,5,FALSE)</f>
        <v>0</v>
      </c>
      <c r="F40" s="91">
        <f>VLOOKUP($A40,'Investigations by Region'!$H$6:$M$25,6,FALSE)</f>
        <v>0</v>
      </c>
      <c r="G40" s="186"/>
      <c r="H40" s="187"/>
      <c r="I40" s="187"/>
      <c r="J40" s="187"/>
      <c r="K40" s="188"/>
      <c r="L40" s="31"/>
    </row>
    <row r="41" spans="1:14" s="28" customFormat="1" ht="18.75" customHeight="1" x14ac:dyDescent="0.25">
      <c r="A41" s="111" t="s">
        <v>63</v>
      </c>
      <c r="B41" s="116">
        <f>VLOOKUP($A41,'Investigations by Region'!$H$6:$M$25,2,FALSE)</f>
        <v>2</v>
      </c>
      <c r="C41" s="90">
        <f>VLOOKUP($A41,'Investigations by Region'!$H$6:$M$25,3,FALSE)</f>
        <v>1</v>
      </c>
      <c r="D41" s="90">
        <f>VLOOKUP($A41,'Investigations by Region'!$H$6:$M$25,4,FALSE)</f>
        <v>0</v>
      </c>
      <c r="E41" s="90">
        <f>VLOOKUP($A41,'Investigations by Region'!$H$6:$M$25,5,FALSE)</f>
        <v>2</v>
      </c>
      <c r="F41" s="91">
        <f>VLOOKUP($A41,'Investigations by Region'!$H$6:$M$25,6,FALSE)</f>
        <v>2859.82</v>
      </c>
      <c r="G41" s="177" t="s">
        <v>933</v>
      </c>
      <c r="H41" s="178"/>
      <c r="I41" s="178"/>
      <c r="J41" s="178"/>
      <c r="K41" s="179"/>
      <c r="L41" s="31"/>
    </row>
    <row r="42" spans="1:14" ht="18.75" customHeight="1" thickBot="1" x14ac:dyDescent="0.3">
      <c r="A42" s="112" t="s">
        <v>137</v>
      </c>
      <c r="B42" s="117">
        <f>VLOOKUP($A42,'Investigations by Region'!$H$6:$M$25,2,FALSE)</f>
        <v>0</v>
      </c>
      <c r="C42" s="92">
        <f>VLOOKUP($A42,'Investigations by Region'!$H$6:$M$25,3,FALSE)</f>
        <v>0</v>
      </c>
      <c r="D42" s="92">
        <f>VLOOKUP($A42,'Investigations by Region'!$H$6:$M$25,4,FALSE)</f>
        <v>0</v>
      </c>
      <c r="E42" s="92">
        <f>VLOOKUP($A42,'Investigations by Region'!$H$6:$M$25,5,FALSE)</f>
        <v>0</v>
      </c>
      <c r="F42" s="93">
        <f>VLOOKUP($A42,'Investigations by Region'!$H$6:$M$25,6,FALSE)</f>
        <v>0</v>
      </c>
      <c r="G42" s="161"/>
      <c r="H42" s="162"/>
      <c r="I42" s="162"/>
      <c r="J42" s="162"/>
      <c r="K42" s="163"/>
      <c r="L42" s="31"/>
    </row>
    <row r="43" spans="1:14" s="1" customFormat="1" ht="18" customHeight="1" thickTop="1" thickBot="1" x14ac:dyDescent="0.3">
      <c r="A43" s="113" t="s">
        <v>10</v>
      </c>
      <c r="B43" s="118">
        <f>SUM(B35:B42)</f>
        <v>8</v>
      </c>
      <c r="C43" s="75">
        <f>SUM(C35:C42)</f>
        <v>1</v>
      </c>
      <c r="D43" s="75">
        <f>SUM(D35:D42)</f>
        <v>1</v>
      </c>
      <c r="E43" s="76">
        <f>SUM(E35:E42)</f>
        <v>9</v>
      </c>
      <c r="F43" s="74">
        <f>SUM(F35:F42)</f>
        <v>6595.3075000000008</v>
      </c>
      <c r="G43" s="158"/>
      <c r="H43" s="159"/>
      <c r="I43" s="159"/>
      <c r="J43" s="159"/>
      <c r="K43" s="160"/>
      <c r="L43" s="31"/>
    </row>
    <row r="44" spans="1:14" s="29" customFormat="1" ht="30" customHeight="1" x14ac:dyDescent="0.25"/>
    <row r="45" spans="1:14" s="29" customFormat="1" ht="1.5" customHeight="1" thickBot="1" x14ac:dyDescent="0.3">
      <c r="A45" s="43"/>
      <c r="B45" s="43"/>
      <c r="C45" s="43"/>
      <c r="D45" s="43"/>
      <c r="E45" s="43"/>
      <c r="F45" s="43"/>
      <c r="G45" s="43"/>
      <c r="H45" s="43"/>
      <c r="I45" s="43"/>
      <c r="J45" s="43"/>
      <c r="K45" s="48"/>
    </row>
    <row r="46" spans="1:14" s="29" customFormat="1" ht="38.25" hidden="1" customHeight="1" thickBot="1" x14ac:dyDescent="0.3">
      <c r="A46" s="41"/>
      <c r="B46" s="41"/>
      <c r="C46" s="41"/>
      <c r="D46" s="41"/>
      <c r="E46" s="41"/>
      <c r="F46" s="41"/>
      <c r="G46" s="41"/>
      <c r="H46" s="41"/>
      <c r="I46" s="41"/>
      <c r="J46" s="41"/>
      <c r="K46" s="41"/>
    </row>
    <row r="47" spans="1:14" s="1" customFormat="1" ht="51" customHeight="1" thickBot="1" x14ac:dyDescent="0.4">
      <c r="A47" s="149" t="s">
        <v>907</v>
      </c>
      <c r="B47" s="150"/>
      <c r="C47" s="150"/>
      <c r="D47" s="150"/>
      <c r="E47" s="150"/>
      <c r="F47" s="150"/>
      <c r="G47" s="150"/>
      <c r="H47" s="150"/>
      <c r="I47" s="150"/>
      <c r="J47" s="150"/>
      <c r="K47" s="151"/>
    </row>
    <row r="48" spans="1:14" s="1" customFormat="1" ht="39" customHeight="1" thickBot="1" x14ac:dyDescent="0.3">
      <c r="A48" s="58" t="s">
        <v>5</v>
      </c>
      <c r="B48" s="62" t="s">
        <v>142</v>
      </c>
      <c r="C48" s="62" t="s">
        <v>65</v>
      </c>
      <c r="D48" s="62" t="s">
        <v>64</v>
      </c>
      <c r="E48" s="62" t="s">
        <v>68</v>
      </c>
      <c r="F48" s="62" t="s">
        <v>152</v>
      </c>
      <c r="G48" s="62" t="s">
        <v>1</v>
      </c>
      <c r="H48" s="208" t="s">
        <v>67</v>
      </c>
      <c r="I48" s="154"/>
      <c r="J48" s="154"/>
      <c r="K48" s="155"/>
    </row>
    <row r="49" spans="1:60" s="26" customFormat="1" ht="33" customHeight="1" x14ac:dyDescent="0.25">
      <c r="A49" s="105" t="str">
        <f>IF(ISERROR(VLOOKUP($D49,'Alignment - No Action Needed'!$A$6:$F$1733,5,FALSE)),"",VLOOKUP($D49,'Alignment - No Action Needed'!$A$6:$F$1733,5,FALSE))</f>
        <v>Midwest</v>
      </c>
      <c r="B49" s="94" t="str">
        <f>IF(ISERROR(VLOOKUP($D49,'Alignment - No Action Needed'!$A$6:$F$1733,6,FALSE)),"",VLOOKUP($D49,'Alignment - No Action Needed'!$A$6:$F$1733,6,FALSE))</f>
        <v>Chicago South</v>
      </c>
      <c r="C49" s="98" t="str">
        <f>IF(ISERROR(VLOOKUP($D49,'Alignment - No Action Needed'!$A$6:$F$1733,2,FALSE)),"",VLOOKUP($D49,'Alignment - No Action Needed'!$A$6:$F$1733,2,FALSE))</f>
        <v>Chicago</v>
      </c>
      <c r="D49" s="63">
        <v>1133</v>
      </c>
      <c r="E49" s="94" t="s">
        <v>938</v>
      </c>
      <c r="F49" s="70">
        <v>255.96</v>
      </c>
      <c r="G49" s="210">
        <v>42192.552777777775</v>
      </c>
      <c r="H49" s="164" t="s">
        <v>939</v>
      </c>
      <c r="I49" s="164"/>
      <c r="J49" s="164"/>
      <c r="K49" s="165"/>
    </row>
    <row r="50" spans="1:60" s="26" customFormat="1" ht="33" customHeight="1" x14ac:dyDescent="0.25">
      <c r="A50" s="106" t="str">
        <f>IF(ISERROR(VLOOKUP($D50,'Alignment - No Action Needed'!$A$6:$F$1733,5,FALSE)),"",VLOOKUP($D50,'Alignment - No Action Needed'!$A$6:$F$1733,5,FALSE))</f>
        <v>Ohio Valley</v>
      </c>
      <c r="B50" s="95" t="str">
        <f>IF(ISERROR(VLOOKUP($D50,'Alignment - No Action Needed'!$A$6:$F$1733,6,FALSE)),"",VLOOKUP($D50,'Alignment - No Action Needed'!$A$6:$F$1733,6,FALSE))</f>
        <v>Cincinnati</v>
      </c>
      <c r="C50" s="99" t="str">
        <f>IF(ISERROR(VLOOKUP($D50,'Alignment - No Action Needed'!$A$6:$F$1733,2,FALSE)),"",VLOOKUP($D50,'Alignment - No Action Needed'!$A$6:$F$1733,2,FALSE))</f>
        <v>Florence KY</v>
      </c>
      <c r="D50" s="64">
        <v>70</v>
      </c>
      <c r="E50" s="95" t="s">
        <v>938</v>
      </c>
      <c r="F50" s="71">
        <v>344</v>
      </c>
      <c r="G50" s="211">
        <v>42191.46875</v>
      </c>
      <c r="H50" s="145" t="s">
        <v>940</v>
      </c>
      <c r="I50" s="145"/>
      <c r="J50" s="145"/>
      <c r="K50" s="146"/>
    </row>
    <row r="51" spans="1:60" s="26" customFormat="1" ht="33" customHeight="1" x14ac:dyDescent="0.25">
      <c r="A51" s="106" t="str">
        <f>IF(ISERROR(VLOOKUP($D51,'Alignment - No Action Needed'!$A$6:$F$1733,5,FALSE)),"",VLOOKUP($D51,'Alignment - No Action Needed'!$A$6:$F$1733,5,FALSE))</f>
        <v>Southeast</v>
      </c>
      <c r="B51" s="95" t="str">
        <f>IF(ISERROR(VLOOKUP($D51,'Alignment - No Action Needed'!$A$6:$F$1733,6,FALSE)),"",VLOOKUP($D51,'Alignment - No Action Needed'!$A$6:$F$1733,6,FALSE))</f>
        <v>Atlanta East</v>
      </c>
      <c r="C51" s="99" t="str">
        <f>IF(ISERROR(VLOOKUP($D51,'Alignment - No Action Needed'!$A$6:$F$1733,2,FALSE)),"",VLOOKUP($D51,'Alignment - No Action Needed'!$A$6:$F$1733,2,FALSE))</f>
        <v>Lenox</v>
      </c>
      <c r="D51" s="64">
        <v>418</v>
      </c>
      <c r="E51" s="95" t="s">
        <v>938</v>
      </c>
      <c r="F51" s="71">
        <v>427</v>
      </c>
      <c r="G51" s="211">
        <v>42190.708333333336</v>
      </c>
      <c r="H51" s="156" t="s">
        <v>954</v>
      </c>
      <c r="I51" s="156"/>
      <c r="J51" s="156"/>
      <c r="K51" s="157"/>
    </row>
    <row r="52" spans="1:60" s="31" customFormat="1" ht="33" customHeight="1" x14ac:dyDescent="0.25">
      <c r="A52" s="107" t="str">
        <f>IF(ISERROR(VLOOKUP($D52,'Alignment - No Action Needed'!$A$6:$F$1733,5,FALSE)),"",VLOOKUP($D52,'Alignment - No Action Needed'!$A$6:$F$1733,5,FALSE))</f>
        <v>Midwest</v>
      </c>
      <c r="B52" s="96" t="str">
        <f>IF(ISERROR(VLOOKUP($D52,'Alignment - No Action Needed'!$A$6:$F$1733,6,FALSE)),"",VLOOKUP($D52,'Alignment - No Action Needed'!$A$6:$F$1733,6,FALSE))</f>
        <v>Indianapolis</v>
      </c>
      <c r="C52" s="100" t="str">
        <f>IF(ISERROR(VLOOKUP($D52,'Alignment - No Action Needed'!$A$6:$F$1733,2,FALSE)),"",VLOOKUP($D52,'Alignment - No Action Needed'!$A$6:$F$1733,2,FALSE))</f>
        <v>Castleton</v>
      </c>
      <c r="D52" s="66">
        <v>416</v>
      </c>
      <c r="E52" s="96" t="s">
        <v>938</v>
      </c>
      <c r="F52" s="72">
        <v>464.96</v>
      </c>
      <c r="G52" s="212">
        <v>42192.8125</v>
      </c>
      <c r="H52" s="145" t="s">
        <v>955</v>
      </c>
      <c r="I52" s="145"/>
      <c r="J52" s="145"/>
      <c r="K52" s="146"/>
    </row>
    <row r="53" spans="1:60" s="31" customFormat="1" ht="33" customHeight="1" x14ac:dyDescent="0.25">
      <c r="A53" s="107" t="str">
        <f>IF(ISERROR(VLOOKUP($D53,'Alignment - No Action Needed'!$A$6:$F$1733,5,FALSE)),"",VLOOKUP($D53,'Alignment - No Action Needed'!$A$6:$F$1733,5,FALSE))</f>
        <v>West</v>
      </c>
      <c r="B53" s="96" t="str">
        <f>IF(ISERROR(VLOOKUP($D53,'Alignment - No Action Needed'!$A$6:$F$1733,6,FALSE)),"",VLOOKUP($D53,'Alignment - No Action Needed'!$A$6:$F$1733,6,FALSE))</f>
        <v>Northern California</v>
      </c>
      <c r="C53" s="100" t="str">
        <f>IF(ISERROR(VLOOKUP($D53,'Alignment - No Action Needed'!$A$6:$F$1733,2,FALSE)),"",VLOOKUP($D53,'Alignment - No Action Needed'!$A$6:$F$1733,2,FALSE))</f>
        <v>Chico</v>
      </c>
      <c r="D53" s="66">
        <v>1089</v>
      </c>
      <c r="E53" s="96" t="s">
        <v>938</v>
      </c>
      <c r="F53" s="72">
        <v>635.87</v>
      </c>
      <c r="G53" s="212">
        <v>42187</v>
      </c>
      <c r="H53" s="145" t="s">
        <v>942</v>
      </c>
      <c r="I53" s="145"/>
      <c r="J53" s="145"/>
      <c r="K53" s="146"/>
    </row>
    <row r="54" spans="1:60" s="1" customFormat="1" ht="33" customHeight="1" x14ac:dyDescent="0.25">
      <c r="A54" s="103" t="str">
        <f>IF(ISERROR(VLOOKUP($D54,'Alignment - No Action Needed'!$A$6:$F$1733,5,FALSE)),"",VLOOKUP($D54,'Alignment - No Action Needed'!$A$6:$F$1733,5,FALSE))</f>
        <v>Mid Atlantic</v>
      </c>
      <c r="B54" s="35" t="str">
        <f>IF(ISERROR(VLOOKUP($D54,'Alignment - No Action Needed'!$A$6:$F$1733,6,FALSE)),"",VLOOKUP($D54,'Alignment - No Action Needed'!$A$6:$F$1733,6,FALSE))</f>
        <v>Baltimore</v>
      </c>
      <c r="C54" s="35" t="str">
        <f>IF(ISERROR(VLOOKUP($D54,'Alignment - No Action Needed'!$A$6:$F$1733,2,FALSE)),"",VLOOKUP($D54,'Alignment - No Action Needed'!$A$6:$F$1733,2,FALSE))</f>
        <v>Frederick</v>
      </c>
      <c r="D54" s="64">
        <v>614</v>
      </c>
      <c r="E54" s="95" t="s">
        <v>76</v>
      </c>
      <c r="F54" s="71">
        <v>515</v>
      </c>
      <c r="G54" s="211">
        <v>42191.831250000003</v>
      </c>
      <c r="H54" s="209" t="s">
        <v>952</v>
      </c>
      <c r="I54" s="143"/>
      <c r="J54" s="143"/>
      <c r="K54" s="144"/>
    </row>
    <row r="55" spans="1:60" s="31" customFormat="1" ht="33" customHeight="1" x14ac:dyDescent="0.25">
      <c r="A55" s="107" t="str">
        <f>IF(ISERROR(VLOOKUP($D55,'Alignment - No Action Needed'!$A$6:$F$1733,5,FALSE)),"",VLOOKUP($D55,'Alignment - No Action Needed'!$A$6:$F$1733,5,FALSE))</f>
        <v>Ohio Valley</v>
      </c>
      <c r="B55" s="96" t="str">
        <f>IF(ISERROR(VLOOKUP($D55,'Alignment - No Action Needed'!$A$6:$F$1733,6,FALSE)),"",VLOOKUP($D55,'Alignment - No Action Needed'!$A$6:$F$1733,6,FALSE))</f>
        <v>Cincinnati</v>
      </c>
      <c r="C55" s="100" t="str">
        <f>IF(ISERROR(VLOOKUP($D55,'Alignment - No Action Needed'!$A$6:$F$1733,2,FALSE)),"",VLOOKUP($D55,'Alignment - No Action Needed'!$A$6:$F$1733,2,FALSE))</f>
        <v>Western Hills</v>
      </c>
      <c r="D55" s="66">
        <v>74</v>
      </c>
      <c r="E55" s="96" t="s">
        <v>75</v>
      </c>
      <c r="F55" s="72">
        <v>800</v>
      </c>
      <c r="G55" s="212">
        <v>42188.570138888892</v>
      </c>
      <c r="H55" s="145" t="s">
        <v>943</v>
      </c>
      <c r="I55" s="145"/>
      <c r="J55" s="145"/>
      <c r="K55" s="146"/>
    </row>
    <row r="56" spans="1:60" s="31" customFormat="1" ht="33" customHeight="1" x14ac:dyDescent="0.25">
      <c r="A56" s="107" t="str">
        <f>IF(ISERROR(VLOOKUP($D56,'Alignment - No Action Needed'!$A$6:$F$1733,5,FALSE)),"",VLOOKUP($D56,'Alignment - No Action Needed'!$A$6:$F$1733,5,FALSE))</f>
        <v>Ohio Valley</v>
      </c>
      <c r="B56" s="96" t="str">
        <f>IF(ISERROR(VLOOKUP($D56,'Alignment - No Action Needed'!$A$6:$F$1733,6,FALSE)),"",VLOOKUP($D56,'Alignment - No Action Needed'!$A$6:$F$1733,6,FALSE))</f>
        <v>Cincinnati</v>
      </c>
      <c r="C56" s="100" t="str">
        <f>IF(ISERROR(VLOOKUP($D56,'Alignment - No Action Needed'!$A$6:$F$1733,2,FALSE)),"",VLOOKUP($D56,'Alignment - No Action Needed'!$A$6:$F$1733,2,FALSE))</f>
        <v>Colerain</v>
      </c>
      <c r="D56" s="66">
        <v>113</v>
      </c>
      <c r="E56" s="96" t="s">
        <v>75</v>
      </c>
      <c r="F56" s="72">
        <v>1000</v>
      </c>
      <c r="G56" s="212">
        <v>42191.64166666667</v>
      </c>
      <c r="H56" s="145" t="s">
        <v>944</v>
      </c>
      <c r="I56" s="145"/>
      <c r="J56" s="145"/>
      <c r="K56" s="146"/>
    </row>
    <row r="57" spans="1:60" s="26" customFormat="1" ht="33" customHeight="1" x14ac:dyDescent="0.25">
      <c r="A57" s="106" t="str">
        <f>IF(ISERROR(VLOOKUP($D57,'Alignment - No Action Needed'!$A$6:$F$1733,5,FALSE)),"",VLOOKUP($D57,'Alignment - No Action Needed'!$A$6:$F$1733,5,FALSE))</f>
        <v>Southwest</v>
      </c>
      <c r="B57" s="95" t="str">
        <f>IF(ISERROR(VLOOKUP($D57,'Alignment - No Action Needed'!$A$6:$F$1733,6,FALSE)),"",VLOOKUP($D57,'Alignment - No Action Needed'!$A$6:$F$1733,6,FALSE))</f>
        <v>Knoxville</v>
      </c>
      <c r="C57" s="99" t="str">
        <f>IF(ISERROR(VLOOKUP($D57,'Alignment - No Action Needed'!$A$6:$F$1733,2,FALSE)),"",VLOOKUP($D57,'Alignment - No Action Needed'!$A$6:$F$1733,2,FALSE))</f>
        <v>Asheville</v>
      </c>
      <c r="D57" s="64">
        <v>205</v>
      </c>
      <c r="E57" s="95" t="s">
        <v>78</v>
      </c>
      <c r="F57" s="71">
        <v>407.88</v>
      </c>
      <c r="G57" s="211">
        <v>42191.864583333336</v>
      </c>
      <c r="H57" s="145" t="s">
        <v>941</v>
      </c>
      <c r="I57" s="145"/>
      <c r="J57" s="145"/>
      <c r="K57" s="146"/>
    </row>
    <row r="58" spans="1:60" s="26" customFormat="1" ht="33" customHeight="1" thickBot="1" x14ac:dyDescent="0.3">
      <c r="A58" s="108" t="str">
        <f>IF(ISERROR(VLOOKUP($D58,'Alignment - No Action Needed'!$A$6:$F$1733,5,FALSE)),"",VLOOKUP($D58,'Alignment - No Action Needed'!$A$6:$F$1733,5,FALSE))</f>
        <v>Midwest</v>
      </c>
      <c r="B58" s="97" t="str">
        <f>IF(ISERROR(VLOOKUP($D58,'Alignment - No Action Needed'!$A$6:$F$1733,6,FALSE)),"",VLOOKUP($D58,'Alignment - No Action Needed'!$A$6:$F$1733,6,FALSE))</f>
        <v>Indianapolis</v>
      </c>
      <c r="C58" s="101" t="str">
        <f>IF(ISERROR(VLOOKUP($D58,'Alignment - No Action Needed'!$A$6:$F$1733,2,FALSE)),"",VLOOKUP($D58,'Alignment - No Action Needed'!$A$6:$F$1733,2,FALSE))</f>
        <v>Castleton</v>
      </c>
      <c r="D58" s="65">
        <v>416</v>
      </c>
      <c r="E58" s="97" t="s">
        <v>79</v>
      </c>
      <c r="F58" s="73">
        <v>276.89999999999998</v>
      </c>
      <c r="G58" s="213">
        <v>42193.729166666664</v>
      </c>
      <c r="H58" s="152" t="s">
        <v>956</v>
      </c>
      <c r="I58" s="152"/>
      <c r="J58" s="152"/>
      <c r="K58" s="153"/>
    </row>
    <row r="59" spans="1:60" s="29" customFormat="1" ht="18.75" customHeight="1" thickBot="1" x14ac:dyDescent="0.3">
      <c r="B59" s="41"/>
      <c r="I59" s="46"/>
      <c r="J59" s="46"/>
      <c r="K59" s="46"/>
      <c r="L59" s="47"/>
      <c r="M59" s="47"/>
      <c r="N59" s="47"/>
      <c r="O59" s="47"/>
      <c r="P59" s="47"/>
      <c r="Q59" s="47"/>
      <c r="R59" s="47"/>
      <c r="S59" s="47"/>
      <c r="T59" s="47"/>
      <c r="U59" s="47"/>
      <c r="V59" s="47"/>
      <c r="W59" s="47"/>
      <c r="X59" s="47"/>
      <c r="Y59" s="47"/>
      <c r="Z59" s="47"/>
      <c r="AA59" s="47"/>
      <c r="AB59" s="47"/>
      <c r="AC59" s="47"/>
      <c r="AD59" s="47"/>
      <c r="AE59" s="47"/>
      <c r="AF59" s="47"/>
      <c r="AG59" s="47"/>
      <c r="AH59" s="47"/>
      <c r="AI59" s="47"/>
      <c r="AJ59" s="47"/>
      <c r="AK59" s="47"/>
      <c r="AL59" s="47"/>
      <c r="AM59" s="47"/>
      <c r="AN59" s="47"/>
      <c r="AO59" s="47"/>
      <c r="AP59" s="47"/>
      <c r="AQ59" s="47"/>
      <c r="AR59" s="47"/>
      <c r="AS59" s="47"/>
      <c r="AT59" s="47"/>
      <c r="AU59" s="47"/>
      <c r="AV59" s="47"/>
      <c r="AW59" s="47"/>
      <c r="AX59" s="47"/>
      <c r="AY59" s="47"/>
      <c r="AZ59" s="47"/>
      <c r="BA59" s="47"/>
      <c r="BB59" s="47"/>
      <c r="BC59" s="47"/>
      <c r="BD59" s="47"/>
      <c r="BE59" s="47"/>
      <c r="BF59" s="47"/>
      <c r="BG59" s="47"/>
      <c r="BH59" s="47"/>
    </row>
    <row r="60" spans="1:60" s="31" customFormat="1" ht="50.25" customHeight="1" thickBot="1" x14ac:dyDescent="0.4">
      <c r="A60" s="149" t="s">
        <v>908</v>
      </c>
      <c r="B60" s="150"/>
      <c r="C60" s="150"/>
      <c r="D60" s="150"/>
      <c r="E60" s="150"/>
      <c r="F60" s="150"/>
      <c r="G60" s="150"/>
      <c r="H60" s="150"/>
      <c r="I60" s="150"/>
      <c r="J60" s="150"/>
      <c r="K60" s="151"/>
      <c r="L60" s="25"/>
      <c r="M60" s="25"/>
      <c r="N60" s="25"/>
      <c r="O60" s="25"/>
      <c r="P60" s="25"/>
      <c r="Q60" s="25"/>
      <c r="R60" s="25"/>
      <c r="S60" s="25"/>
      <c r="T60" s="25"/>
      <c r="U60" s="25"/>
      <c r="V60" s="25"/>
      <c r="W60" s="25"/>
      <c r="X60" s="25"/>
      <c r="Y60" s="25"/>
      <c r="Z60" s="25"/>
      <c r="AA60" s="25"/>
      <c r="AB60" s="25"/>
      <c r="AC60" s="25"/>
      <c r="AD60" s="25"/>
      <c r="AE60" s="25"/>
      <c r="AF60" s="25"/>
      <c r="AG60" s="25"/>
      <c r="AH60" s="25"/>
      <c r="AI60" s="25"/>
      <c r="AJ60" s="25"/>
      <c r="AK60" s="25"/>
      <c r="AL60" s="25"/>
      <c r="AM60" s="25"/>
      <c r="AN60" s="25"/>
      <c r="AO60" s="25"/>
      <c r="AP60" s="25"/>
      <c r="AQ60" s="25"/>
      <c r="AR60" s="25"/>
      <c r="AS60" s="25"/>
      <c r="AT60" s="25"/>
      <c r="AU60" s="25"/>
      <c r="AV60" s="25"/>
      <c r="AW60" s="25"/>
      <c r="AX60" s="25"/>
      <c r="AY60" s="25"/>
      <c r="AZ60" s="25"/>
      <c r="BA60" s="25"/>
      <c r="BB60" s="25"/>
      <c r="BC60" s="25"/>
      <c r="BD60" s="25"/>
      <c r="BE60" s="25"/>
      <c r="BF60" s="25"/>
      <c r="BG60" s="25"/>
      <c r="BH60" s="25"/>
    </row>
    <row r="61" spans="1:60" s="31" customFormat="1" ht="37.5" customHeight="1" thickBot="1" x14ac:dyDescent="0.3">
      <c r="A61" s="58" t="s">
        <v>5</v>
      </c>
      <c r="B61" s="62" t="s">
        <v>142</v>
      </c>
      <c r="C61" s="62" t="s">
        <v>65</v>
      </c>
      <c r="D61" s="62" t="s">
        <v>64</v>
      </c>
      <c r="E61" s="62" t="s">
        <v>68</v>
      </c>
      <c r="F61" s="62" t="s">
        <v>152</v>
      </c>
      <c r="G61" s="62" t="s">
        <v>1</v>
      </c>
      <c r="H61" s="208" t="s">
        <v>67</v>
      </c>
      <c r="I61" s="154"/>
      <c r="J61" s="154"/>
      <c r="K61" s="155"/>
      <c r="L61" s="25"/>
      <c r="M61" s="25"/>
      <c r="N61" s="25"/>
      <c r="O61" s="25"/>
      <c r="P61" s="25"/>
      <c r="Q61" s="25"/>
      <c r="R61" s="25"/>
      <c r="S61" s="25"/>
      <c r="T61" s="25"/>
      <c r="U61" s="25"/>
      <c r="V61" s="25"/>
      <c r="W61" s="25"/>
      <c r="X61" s="25"/>
      <c r="Y61" s="25"/>
      <c r="Z61" s="25"/>
      <c r="AA61" s="25"/>
      <c r="AB61" s="25"/>
      <c r="AC61" s="25"/>
      <c r="AD61" s="25"/>
      <c r="AE61" s="25"/>
      <c r="AF61" s="25"/>
      <c r="AG61" s="25"/>
      <c r="AH61" s="25"/>
      <c r="AI61" s="25"/>
      <c r="AJ61" s="25"/>
      <c r="AK61" s="25"/>
      <c r="AL61" s="25"/>
      <c r="AM61" s="25"/>
      <c r="AN61" s="25"/>
      <c r="AO61" s="25"/>
      <c r="AP61" s="25"/>
      <c r="AQ61" s="25"/>
      <c r="AR61" s="25"/>
      <c r="AS61" s="25"/>
      <c r="AT61" s="25"/>
      <c r="AU61" s="25"/>
      <c r="AV61" s="25"/>
      <c r="AW61" s="25"/>
      <c r="AX61" s="25"/>
      <c r="AY61" s="25"/>
      <c r="AZ61" s="25"/>
      <c r="BA61" s="25"/>
      <c r="BB61" s="25"/>
      <c r="BC61" s="25"/>
      <c r="BD61" s="25"/>
      <c r="BE61" s="25"/>
      <c r="BF61" s="25"/>
    </row>
    <row r="62" spans="1:60" s="31" customFormat="1" ht="33" customHeight="1" x14ac:dyDescent="0.25">
      <c r="A62" s="102" t="str">
        <f>IF(ISERROR(VLOOKUP($D62,'Alignment - No Action Needed'!$A$6:$F$1733,5,FALSE)),"",VLOOKUP($D62,'Alignment - No Action Needed'!$A$6:$F$1733,5,FALSE))</f>
        <v>Mid Atlantic</v>
      </c>
      <c r="B62" s="44" t="str">
        <f>IF(ISERROR(VLOOKUP($D62,'Alignment - No Action Needed'!$A$6:$F$1733,6,FALSE)),"",VLOOKUP($D62,'Alignment - No Action Needed'!$A$6:$F$1733,6,FALSE))</f>
        <v>Greensboro</v>
      </c>
      <c r="C62" s="44" t="str">
        <f>IF(ISERROR(VLOOKUP($D62,'Alignment - No Action Needed'!$A$6:$F$1733,2,FALSE)),"",VLOOKUP($D62,'Alignment - No Action Needed'!$A$6:$F$1733,2,FALSE))</f>
        <v>Roanoke</v>
      </c>
      <c r="D62" s="63">
        <v>127</v>
      </c>
      <c r="E62" s="94" t="s">
        <v>938</v>
      </c>
      <c r="F62" s="70">
        <v>250</v>
      </c>
      <c r="G62" s="55">
        <v>42190.777777777781</v>
      </c>
      <c r="H62" s="214" t="s">
        <v>945</v>
      </c>
      <c r="I62" s="147"/>
      <c r="J62" s="147"/>
      <c r="K62" s="148"/>
      <c r="L62" s="25"/>
      <c r="M62" s="25"/>
      <c r="N62" s="25"/>
      <c r="O62" s="25"/>
      <c r="P62" s="25"/>
      <c r="Q62" s="25"/>
      <c r="R62" s="25"/>
      <c r="S62" s="25"/>
      <c r="T62" s="25"/>
      <c r="U62" s="25"/>
      <c r="V62" s="25"/>
      <c r="W62" s="25"/>
      <c r="X62" s="25"/>
      <c r="Y62" s="25"/>
      <c r="Z62" s="25"/>
      <c r="AA62" s="25"/>
      <c r="AB62" s="25"/>
      <c r="AC62" s="25"/>
      <c r="AD62" s="25"/>
      <c r="AE62" s="25"/>
      <c r="AF62" s="25"/>
      <c r="AG62" s="25"/>
      <c r="AH62" s="25"/>
      <c r="AI62" s="25"/>
      <c r="AJ62" s="25"/>
      <c r="AK62" s="25"/>
      <c r="AL62" s="25"/>
      <c r="AM62" s="25"/>
      <c r="AN62" s="25"/>
      <c r="AO62" s="25"/>
      <c r="AP62" s="25"/>
      <c r="AQ62" s="25"/>
      <c r="AR62" s="25"/>
      <c r="AS62" s="25"/>
      <c r="AT62" s="25"/>
      <c r="AU62" s="25"/>
      <c r="AV62" s="25"/>
      <c r="AW62" s="25"/>
      <c r="AX62" s="25"/>
      <c r="AY62" s="25"/>
      <c r="AZ62" s="25"/>
      <c r="BA62" s="25"/>
      <c r="BB62" s="25"/>
      <c r="BC62" s="25"/>
      <c r="BD62" s="25"/>
      <c r="BE62" s="25"/>
      <c r="BF62" s="25"/>
    </row>
    <row r="63" spans="1:60" s="26" customFormat="1" ht="33" customHeight="1" x14ac:dyDescent="0.25">
      <c r="A63" s="103" t="str">
        <f>IF(ISERROR(VLOOKUP($D63,'Alignment - No Action Needed'!$A$6:$F$1733,5,FALSE)),"",VLOOKUP($D63,'Alignment - No Action Needed'!$A$6:$F$1733,5,FALSE))</f>
        <v>Southeast</v>
      </c>
      <c r="B63" s="35" t="str">
        <f>IF(ISERROR(VLOOKUP($D63,'Alignment - No Action Needed'!$A$6:$F$1733,6,FALSE)),"",VLOOKUP($D63,'Alignment - No Action Needed'!$A$6:$F$1733,6,FALSE))</f>
        <v>Charlotte</v>
      </c>
      <c r="C63" s="35" t="str">
        <f>IF(ISERROR(VLOOKUP($D63,'Alignment - No Action Needed'!$A$6:$F$1733,2,FALSE)),"",VLOOKUP($D63,'Alignment - No Action Needed'!$A$6:$F$1733,2,FALSE))</f>
        <v>Mooresville</v>
      </c>
      <c r="D63" s="64">
        <v>216</v>
      </c>
      <c r="E63" s="95" t="s">
        <v>938</v>
      </c>
      <c r="F63" s="71">
        <v>426.94</v>
      </c>
      <c r="G63" s="56">
        <v>42187.430555555555</v>
      </c>
      <c r="H63" s="215" t="s">
        <v>948</v>
      </c>
      <c r="I63" s="143"/>
      <c r="J63" s="143"/>
      <c r="K63" s="144"/>
      <c r="L63" s="25"/>
      <c r="M63" s="25"/>
      <c r="N63" s="25"/>
      <c r="O63" s="25"/>
      <c r="P63" s="25"/>
      <c r="Q63" s="25"/>
      <c r="R63" s="25"/>
      <c r="S63" s="25"/>
      <c r="T63" s="25"/>
      <c r="U63" s="25"/>
      <c r="V63" s="25"/>
      <c r="W63" s="25"/>
      <c r="X63" s="25"/>
      <c r="Y63" s="25"/>
      <c r="Z63" s="25"/>
      <c r="AA63" s="25"/>
      <c r="AB63" s="25"/>
      <c r="AC63" s="25"/>
      <c r="AD63" s="25"/>
      <c r="AE63" s="25"/>
      <c r="AF63" s="25"/>
      <c r="AG63" s="25"/>
      <c r="AH63" s="25"/>
      <c r="AI63" s="25"/>
      <c r="AJ63" s="25"/>
      <c r="AK63" s="25"/>
      <c r="AL63" s="25"/>
      <c r="AM63" s="25"/>
      <c r="AN63" s="25"/>
      <c r="AO63" s="25"/>
      <c r="AP63" s="25"/>
      <c r="AQ63" s="25"/>
      <c r="AR63" s="25"/>
      <c r="AS63" s="25"/>
      <c r="AT63" s="25"/>
      <c r="AU63" s="25"/>
      <c r="AV63" s="25"/>
      <c r="AW63" s="25"/>
      <c r="AX63" s="25"/>
      <c r="AY63" s="25"/>
      <c r="AZ63" s="25"/>
      <c r="BA63" s="25"/>
      <c r="BB63" s="25"/>
      <c r="BC63" s="25"/>
      <c r="BD63" s="25"/>
      <c r="BE63" s="25"/>
      <c r="BF63" s="25"/>
    </row>
    <row r="64" spans="1:60" s="1" customFormat="1" ht="33" customHeight="1" x14ac:dyDescent="0.25">
      <c r="A64" s="103" t="str">
        <f>IF(ISERROR(VLOOKUP($D64,'Alignment - No Action Needed'!$A$6:$F$1733,5,FALSE)),"",VLOOKUP($D64,'Alignment - No Action Needed'!$A$6:$F$1733,5,FALSE))</f>
        <v>Northeast</v>
      </c>
      <c r="B64" s="35" t="str">
        <f>IF(ISERROR(VLOOKUP($D64,'Alignment - No Action Needed'!$A$6:$F$1733,6,FALSE)),"",VLOOKUP($D64,'Alignment - No Action Needed'!$A$6:$F$1733,6,FALSE))</f>
        <v>Hartford</v>
      </c>
      <c r="C64" s="35" t="str">
        <f>IF(ISERROR(VLOOKUP($D64,'Alignment - No Action Needed'!$A$6:$F$1733,2,FALSE)),"",VLOOKUP($D64,'Alignment - No Action Needed'!$A$6:$F$1733,2,FALSE))</f>
        <v>Buckland Hills</v>
      </c>
      <c r="D64" s="64">
        <v>295</v>
      </c>
      <c r="E64" s="95" t="s">
        <v>938</v>
      </c>
      <c r="F64" s="71">
        <v>834</v>
      </c>
      <c r="G64" s="56">
        <v>42187.708333333336</v>
      </c>
      <c r="H64" s="215" t="s">
        <v>957</v>
      </c>
      <c r="I64" s="143"/>
      <c r="J64" s="143"/>
      <c r="K64" s="144"/>
    </row>
    <row r="65" spans="1:58" s="26" customFormat="1" ht="33" customHeight="1" x14ac:dyDescent="0.25">
      <c r="A65" s="103" t="str">
        <f>IF(ISERROR(VLOOKUP($D65,'Alignment - No Action Needed'!$A$6:$F$1733,5,FALSE)),"",VLOOKUP($D65,'Alignment - No Action Needed'!$A$6:$F$1733,5,FALSE))</f>
        <v>Southeast</v>
      </c>
      <c r="B65" s="35" t="str">
        <f>IF(ISERROR(VLOOKUP($D65,'Alignment - No Action Needed'!$A$6:$F$1733,6,FALSE)),"",VLOOKUP($D65,'Alignment - No Action Needed'!$A$6:$F$1733,6,FALSE))</f>
        <v>Florida South</v>
      </c>
      <c r="C65" s="35" t="str">
        <f>IF(ISERROR(VLOOKUP($D65,'Alignment - No Action Needed'!$A$6:$F$1733,2,FALSE)),"",VLOOKUP($D65,'Alignment - No Action Needed'!$A$6:$F$1733,2,FALSE))</f>
        <v>Pembroke Pines</v>
      </c>
      <c r="D65" s="64">
        <v>669</v>
      </c>
      <c r="E65" s="95" t="s">
        <v>949</v>
      </c>
      <c r="F65" s="71">
        <v>499.99</v>
      </c>
      <c r="G65" s="56">
        <v>42187.618055555555</v>
      </c>
      <c r="H65" s="216" t="s">
        <v>950</v>
      </c>
      <c r="I65" s="166"/>
      <c r="J65" s="166"/>
      <c r="K65" s="167"/>
      <c r="L65" s="25"/>
      <c r="M65" s="25"/>
      <c r="N65" s="25"/>
      <c r="O65" s="25"/>
      <c r="P65" s="25"/>
      <c r="Q65" s="25"/>
      <c r="R65" s="25"/>
      <c r="S65" s="25"/>
      <c r="T65" s="25"/>
      <c r="U65" s="25"/>
      <c r="V65" s="25"/>
      <c r="W65" s="25"/>
      <c r="X65" s="25"/>
      <c r="Y65" s="25"/>
      <c r="Z65" s="25"/>
      <c r="AA65" s="25"/>
      <c r="AB65" s="25"/>
      <c r="AC65" s="25"/>
      <c r="AD65" s="25"/>
      <c r="AE65" s="25"/>
      <c r="AF65" s="25"/>
      <c r="AG65" s="25"/>
      <c r="AH65" s="25"/>
      <c r="AI65" s="25"/>
      <c r="AJ65" s="25"/>
      <c r="AK65" s="25"/>
      <c r="AL65" s="25"/>
      <c r="AM65" s="25"/>
      <c r="AN65" s="25"/>
      <c r="AO65" s="25"/>
      <c r="AP65" s="25"/>
      <c r="AQ65" s="25"/>
      <c r="AR65" s="25"/>
      <c r="AS65" s="25"/>
      <c r="AT65" s="25"/>
      <c r="AU65" s="25"/>
      <c r="AV65" s="25"/>
      <c r="AW65" s="25"/>
      <c r="AX65" s="25"/>
      <c r="AY65" s="25"/>
      <c r="AZ65" s="25"/>
      <c r="BA65" s="25"/>
      <c r="BB65" s="25"/>
      <c r="BC65" s="25"/>
      <c r="BD65" s="25"/>
      <c r="BE65" s="25"/>
      <c r="BF65" s="25"/>
    </row>
    <row r="66" spans="1:58" s="26" customFormat="1" ht="33" customHeight="1" x14ac:dyDescent="0.25">
      <c r="A66" s="103" t="str">
        <f>IF(ISERROR(VLOOKUP($D66,'Alignment - No Action Needed'!$A$6:$F$1733,5,FALSE)),"",VLOOKUP($D66,'Alignment - No Action Needed'!$A$6:$F$1733,5,FALSE))</f>
        <v>Southeast</v>
      </c>
      <c r="B66" s="35" t="str">
        <f>IF(ISERROR(VLOOKUP($D66,'Alignment - No Action Needed'!$A$6:$F$1733,6,FALSE)),"",VLOOKUP($D66,'Alignment - No Action Needed'!$A$6:$F$1733,6,FALSE))</f>
        <v>Florida South</v>
      </c>
      <c r="C66" s="35" t="str">
        <f>IF(ISERROR(VLOOKUP($D66,'Alignment - No Action Needed'!$A$6:$F$1733,2,FALSE)),"",VLOOKUP($D66,'Alignment - No Action Needed'!$A$6:$F$1733,2,FALSE))</f>
        <v>Coral Springs</v>
      </c>
      <c r="D66" s="64">
        <v>1121</v>
      </c>
      <c r="E66" s="95" t="s">
        <v>949</v>
      </c>
      <c r="F66" s="71">
        <v>499.99</v>
      </c>
      <c r="G66" s="56">
        <v>42190.74722222222</v>
      </c>
      <c r="H66" s="215" t="s">
        <v>951</v>
      </c>
      <c r="I66" s="143"/>
      <c r="J66" s="143"/>
      <c r="K66" s="144"/>
      <c r="L66" s="25"/>
      <c r="M66" s="25"/>
      <c r="N66" s="25"/>
      <c r="O66" s="25"/>
      <c r="P66" s="25"/>
      <c r="Q66" s="25"/>
      <c r="R66" s="25"/>
      <c r="S66" s="25"/>
      <c r="T66" s="25"/>
      <c r="U66" s="25"/>
      <c r="V66" s="25"/>
      <c r="W66" s="25"/>
      <c r="X66" s="25"/>
      <c r="Y66" s="25"/>
      <c r="Z66" s="25"/>
      <c r="AA66" s="25"/>
      <c r="AB66" s="25"/>
      <c r="AC66" s="25"/>
      <c r="AD66" s="25"/>
      <c r="AE66" s="25"/>
      <c r="AF66" s="25"/>
      <c r="AG66" s="25"/>
      <c r="AH66" s="25"/>
      <c r="AI66" s="25"/>
      <c r="AJ66" s="25"/>
      <c r="AK66" s="25"/>
      <c r="AL66" s="25"/>
      <c r="AM66" s="25"/>
      <c r="AN66" s="25"/>
      <c r="AO66" s="25"/>
      <c r="AP66" s="25"/>
      <c r="AQ66" s="25"/>
      <c r="AR66" s="25"/>
      <c r="AS66" s="25"/>
      <c r="AT66" s="25"/>
      <c r="AU66" s="25"/>
      <c r="AV66" s="25"/>
      <c r="AW66" s="25"/>
      <c r="AX66" s="25"/>
      <c r="AY66" s="25"/>
      <c r="AZ66" s="25"/>
      <c r="BA66" s="25"/>
      <c r="BB66" s="25"/>
      <c r="BC66" s="25"/>
      <c r="BD66" s="25"/>
      <c r="BE66" s="25"/>
      <c r="BF66" s="25"/>
    </row>
    <row r="67" spans="1:58" s="1" customFormat="1" ht="33" customHeight="1" x14ac:dyDescent="0.25">
      <c r="A67" s="103" t="str">
        <f>IF(ISERROR(VLOOKUP($D67,'Alignment - No Action Needed'!$A$6:$F$1733,5,FALSE)),"",VLOOKUP($D67,'Alignment - No Action Needed'!$A$6:$F$1733,5,FALSE))</f>
        <v>West</v>
      </c>
      <c r="B67" s="35" t="str">
        <f>IF(ISERROR(VLOOKUP($D67,'Alignment - No Action Needed'!$A$6:$F$1733,6,FALSE)),"",VLOOKUP($D67,'Alignment - No Action Needed'!$A$6:$F$1733,6,FALSE))</f>
        <v>Denver</v>
      </c>
      <c r="C67" s="35" t="str">
        <f>IF(ISERROR(VLOOKUP($D67,'Alignment - No Action Needed'!$A$6:$F$1733,2,FALSE)),"",VLOOKUP($D67,'Alignment - No Action Needed'!$A$6:$F$1733,2,FALSE))</f>
        <v>Larkridge</v>
      </c>
      <c r="D67" s="64">
        <v>254</v>
      </c>
      <c r="E67" s="95" t="s">
        <v>949</v>
      </c>
      <c r="F67" s="71">
        <v>779.94</v>
      </c>
      <c r="G67" s="56">
        <v>42187.6875</v>
      </c>
      <c r="H67" s="215" t="s">
        <v>953</v>
      </c>
      <c r="I67" s="143"/>
      <c r="J67" s="143"/>
      <c r="K67" s="144"/>
    </row>
    <row r="68" spans="1:58" s="26" customFormat="1" ht="33" customHeight="1" x14ac:dyDescent="0.25">
      <c r="A68" s="103" t="str">
        <f>IF(ISERROR(VLOOKUP($D68,'Alignment - No Action Needed'!$A$6:$F$1733,5,FALSE)),"",VLOOKUP($D68,'Alignment - No Action Needed'!$A$6:$F$1733,5,FALSE))</f>
        <v>Southwest</v>
      </c>
      <c r="B68" s="35" t="str">
        <f>IF(ISERROR(VLOOKUP($D68,'Alignment - No Action Needed'!$A$6:$F$1733,6,FALSE)),"",VLOOKUP($D68,'Alignment - No Action Needed'!$A$6:$F$1733,6,FALSE))</f>
        <v>Oklahoma</v>
      </c>
      <c r="C68" s="35" t="str">
        <f>IF(ISERROR(VLOOKUP($D68,'Alignment - No Action Needed'!$A$6:$F$1733,2,FALSE)),"",VLOOKUP($D68,'Alignment - No Action Needed'!$A$6:$F$1733,2,FALSE))</f>
        <v>Broken Arrow</v>
      </c>
      <c r="D68" s="64">
        <v>1022</v>
      </c>
      <c r="E68" s="95" t="s">
        <v>76</v>
      </c>
      <c r="F68" s="71">
        <v>399.96</v>
      </c>
      <c r="G68" s="56">
        <v>42193.375</v>
      </c>
      <c r="H68" s="215" t="s">
        <v>947</v>
      </c>
      <c r="I68" s="143"/>
      <c r="J68" s="143"/>
      <c r="K68" s="144"/>
      <c r="L68" s="25"/>
      <c r="M68" s="25"/>
      <c r="N68" s="25"/>
      <c r="O68" s="25"/>
      <c r="P68" s="25"/>
      <c r="Q68" s="25"/>
      <c r="R68" s="25"/>
      <c r="S68" s="25"/>
      <c r="T68" s="25"/>
      <c r="U68" s="25"/>
      <c r="V68" s="25"/>
      <c r="W68" s="25"/>
      <c r="X68" s="25"/>
      <c r="Y68" s="25"/>
      <c r="Z68" s="25"/>
      <c r="AA68" s="25"/>
      <c r="AB68" s="25"/>
      <c r="AC68" s="25"/>
      <c r="AD68" s="25"/>
      <c r="AE68" s="25"/>
      <c r="AF68" s="25"/>
      <c r="AG68" s="25"/>
      <c r="AH68" s="25"/>
      <c r="AI68" s="25"/>
      <c r="AJ68" s="25"/>
      <c r="AK68" s="25"/>
      <c r="AL68" s="25"/>
      <c r="AM68" s="25"/>
      <c r="AN68" s="25"/>
      <c r="AO68" s="25"/>
      <c r="AP68" s="25"/>
      <c r="AQ68" s="25"/>
      <c r="AR68" s="25"/>
      <c r="AS68" s="25"/>
      <c r="AT68" s="25"/>
      <c r="AU68" s="25"/>
      <c r="AV68" s="25"/>
      <c r="AW68" s="25"/>
      <c r="AX68" s="25"/>
      <c r="AY68" s="25"/>
      <c r="AZ68" s="25"/>
      <c r="BA68" s="25"/>
      <c r="BB68" s="25"/>
      <c r="BC68" s="25"/>
      <c r="BD68" s="25"/>
      <c r="BE68" s="25"/>
      <c r="BF68" s="25"/>
    </row>
    <row r="69" spans="1:58" s="1" customFormat="1" ht="33" customHeight="1" x14ac:dyDescent="0.25">
      <c r="A69" s="103" t="str">
        <f>IF(ISERROR(VLOOKUP($D69,'Alignment - No Action Needed'!$A$6:$F$1733,5,FALSE)),"",VLOOKUP($D69,'Alignment - No Action Needed'!$A$6:$F$1733,5,FALSE))</f>
        <v>West</v>
      </c>
      <c r="B69" s="35" t="str">
        <f>IF(ISERROR(VLOOKUP($D69,'Alignment - No Action Needed'!$A$6:$F$1733,6,FALSE)),"",VLOOKUP($D69,'Alignment - No Action Needed'!$A$6:$F$1733,6,FALSE))</f>
        <v>Northern California</v>
      </c>
      <c r="C69" s="35" t="str">
        <f>IF(ISERROR(VLOOKUP($D69,'Alignment - No Action Needed'!$A$6:$F$1733,2,FALSE)),"",VLOOKUP($D69,'Alignment - No Action Needed'!$A$6:$F$1733,2,FALSE))</f>
        <v>Daly City</v>
      </c>
      <c r="D69" s="64">
        <v>1092</v>
      </c>
      <c r="E69" s="95" t="s">
        <v>78</v>
      </c>
      <c r="F69" s="71">
        <v>1719.96</v>
      </c>
      <c r="G69" s="56">
        <v>42188.871527777781</v>
      </c>
      <c r="H69" s="215" t="s">
        <v>958</v>
      </c>
      <c r="I69" s="143"/>
      <c r="J69" s="143"/>
      <c r="K69" s="144"/>
    </row>
    <row r="70" spans="1:58" s="31" customFormat="1" ht="33" customHeight="1" thickBot="1" x14ac:dyDescent="0.3">
      <c r="A70" s="104" t="str">
        <f>IF(ISERROR(VLOOKUP($D70,'Alignment - No Action Needed'!$A$6:$F$1733,5,FALSE)),"",VLOOKUP($D70,'Alignment - No Action Needed'!$A$6:$F$1733,5,FALSE))</f>
        <v>West</v>
      </c>
      <c r="B70" s="36" t="str">
        <f>IF(ISERROR(VLOOKUP($D70,'Alignment - No Action Needed'!$A$6:$F$1733,6,FALSE)),"",VLOOKUP($D70,'Alignment - No Action Needed'!$A$6:$F$1733,6,FALSE))</f>
        <v>Northern California</v>
      </c>
      <c r="C70" s="36" t="str">
        <f>IF(ISERROR(VLOOKUP($D70,'Alignment - No Action Needed'!$A$6:$F$1733,2,FALSE)),"",VLOOKUP($D70,'Alignment - No Action Needed'!$A$6:$F$1733,2,FALSE))</f>
        <v>Daly City</v>
      </c>
      <c r="D70" s="65">
        <v>1092</v>
      </c>
      <c r="E70" s="97" t="s">
        <v>79</v>
      </c>
      <c r="F70" s="73">
        <v>350</v>
      </c>
      <c r="G70" s="57">
        <v>42188.84097222222</v>
      </c>
      <c r="H70" s="217" t="s">
        <v>946</v>
      </c>
      <c r="I70" s="201"/>
      <c r="J70" s="201"/>
      <c r="K70" s="202"/>
      <c r="L70" s="25"/>
      <c r="M70" s="25"/>
      <c r="N70" s="25"/>
      <c r="O70" s="25"/>
      <c r="P70" s="25"/>
      <c r="Q70" s="25"/>
      <c r="R70" s="25"/>
      <c r="S70" s="25"/>
      <c r="T70" s="25"/>
      <c r="U70" s="25"/>
      <c r="V70" s="25"/>
      <c r="W70" s="25"/>
      <c r="X70" s="25"/>
      <c r="Y70" s="25"/>
      <c r="Z70" s="25"/>
      <c r="AA70" s="25"/>
      <c r="AB70" s="25"/>
      <c r="AC70" s="25"/>
      <c r="AD70" s="25"/>
      <c r="AE70" s="25"/>
      <c r="AF70" s="25"/>
      <c r="AG70" s="25"/>
      <c r="AH70" s="25"/>
      <c r="AI70" s="25"/>
      <c r="AJ70" s="25"/>
      <c r="AK70" s="25"/>
      <c r="AL70" s="25"/>
      <c r="AM70" s="25"/>
      <c r="AN70" s="25"/>
      <c r="AO70" s="25"/>
      <c r="AP70" s="25"/>
      <c r="AQ70" s="25"/>
      <c r="AR70" s="25"/>
      <c r="AS70" s="25"/>
      <c r="AT70" s="25"/>
      <c r="AU70" s="25"/>
      <c r="AV70" s="25"/>
      <c r="AW70" s="25"/>
      <c r="AX70" s="25"/>
      <c r="AY70" s="25"/>
      <c r="AZ70" s="25"/>
      <c r="BA70" s="25"/>
      <c r="BB70" s="25"/>
      <c r="BC70" s="25"/>
      <c r="BD70" s="25"/>
      <c r="BE70" s="25"/>
      <c r="BF70" s="25"/>
    </row>
    <row r="71" spans="1:58" s="1" customFormat="1" ht="16.5" customHeight="1" x14ac:dyDescent="0.25">
      <c r="G71" s="31"/>
      <c r="H71" s="31"/>
      <c r="I71" s="31"/>
      <c r="J71" s="31"/>
      <c r="K71" s="29"/>
    </row>
    <row r="72" spans="1:58" s="1" customFormat="1" x14ac:dyDescent="0.25">
      <c r="K72" s="27"/>
    </row>
    <row r="73" spans="1:58" s="1" customFormat="1" x14ac:dyDescent="0.25">
      <c r="K73" s="27"/>
    </row>
    <row r="74" spans="1:58" s="1" customFormat="1" x14ac:dyDescent="0.25">
      <c r="K74" s="27"/>
    </row>
    <row r="75" spans="1:58" s="1" customFormat="1" x14ac:dyDescent="0.25">
      <c r="K75" s="27"/>
    </row>
    <row r="76" spans="1:58" s="1" customFormat="1" x14ac:dyDescent="0.25">
      <c r="K76" s="27"/>
    </row>
    <row r="77" spans="1:58" s="1" customFormat="1" x14ac:dyDescent="0.25">
      <c r="K77" s="27"/>
    </row>
    <row r="78" spans="1:58" s="1" customFormat="1" x14ac:dyDescent="0.25">
      <c r="K78" s="27"/>
    </row>
    <row r="79" spans="1:58" s="1" customFormat="1" x14ac:dyDescent="0.25">
      <c r="K79" s="27"/>
    </row>
    <row r="80" spans="1:58" s="1" customFormat="1" x14ac:dyDescent="0.25">
      <c r="K80" s="27"/>
    </row>
    <row r="81" spans="11:11" s="1" customFormat="1" x14ac:dyDescent="0.25">
      <c r="K81" s="27"/>
    </row>
    <row r="82" spans="11:11" s="1" customFormat="1" x14ac:dyDescent="0.25">
      <c r="K82" s="27"/>
    </row>
    <row r="83" spans="11:11" s="1" customFormat="1" x14ac:dyDescent="0.25">
      <c r="K83" s="27"/>
    </row>
    <row r="84" spans="11:11" s="1" customFormat="1" x14ac:dyDescent="0.25">
      <c r="K84" s="27"/>
    </row>
    <row r="85" spans="11:11" s="1" customFormat="1" x14ac:dyDescent="0.25">
      <c r="K85" s="27"/>
    </row>
    <row r="86" spans="11:11" s="1" customFormat="1" x14ac:dyDescent="0.25">
      <c r="K86" s="27"/>
    </row>
    <row r="87" spans="11:11" s="1" customFormat="1" x14ac:dyDescent="0.25">
      <c r="K87" s="27"/>
    </row>
    <row r="88" spans="11:11" s="1" customFormat="1" x14ac:dyDescent="0.25">
      <c r="K88" s="27"/>
    </row>
    <row r="89" spans="11:11" s="1" customFormat="1" x14ac:dyDescent="0.25">
      <c r="K89" s="27"/>
    </row>
    <row r="90" spans="11:11" s="1" customFormat="1" x14ac:dyDescent="0.25">
      <c r="K90" s="27"/>
    </row>
    <row r="91" spans="11:11" s="1" customFormat="1" x14ac:dyDescent="0.25">
      <c r="K91" s="27"/>
    </row>
    <row r="92" spans="11:11" s="1" customFormat="1" x14ac:dyDescent="0.25">
      <c r="K92" s="27"/>
    </row>
    <row r="93" spans="11:11" s="1" customFormat="1" x14ac:dyDescent="0.25">
      <c r="K93" s="27"/>
    </row>
    <row r="94" spans="11:11" s="1" customFormat="1" x14ac:dyDescent="0.25">
      <c r="K94" s="27"/>
    </row>
    <row r="95" spans="11:11" s="1" customFormat="1" x14ac:dyDescent="0.25">
      <c r="K95" s="27"/>
    </row>
    <row r="96" spans="11:11" s="1" customFormat="1" x14ac:dyDescent="0.25">
      <c r="K96" s="27"/>
    </row>
    <row r="97" spans="1:11" s="1" customFormat="1" x14ac:dyDescent="0.25">
      <c r="K97" s="27"/>
    </row>
    <row r="98" spans="1:11" s="1" customFormat="1" x14ac:dyDescent="0.25">
      <c r="K98" s="27"/>
    </row>
    <row r="99" spans="1:11" s="1" customFormat="1" x14ac:dyDescent="0.25">
      <c r="K99" s="27"/>
    </row>
    <row r="100" spans="1:11" s="1" customFormat="1" x14ac:dyDescent="0.25">
      <c r="K100" s="27"/>
    </row>
    <row r="101" spans="1:11" s="1" customFormat="1" x14ac:dyDescent="0.25">
      <c r="K101" s="27"/>
    </row>
    <row r="102" spans="1:11" s="1" customFormat="1" x14ac:dyDescent="0.25">
      <c r="K102" s="27"/>
    </row>
    <row r="103" spans="1:11" s="1" customFormat="1" x14ac:dyDescent="0.25">
      <c r="K103" s="27"/>
    </row>
    <row r="104" spans="1:11" s="1" customFormat="1" x14ac:dyDescent="0.25">
      <c r="K104" s="27"/>
    </row>
    <row r="105" spans="1:11" s="1" customFormat="1" x14ac:dyDescent="0.25">
      <c r="K105" s="27"/>
    </row>
    <row r="106" spans="1:11" s="1" customFormat="1" x14ac:dyDescent="0.25">
      <c r="K106" s="27"/>
    </row>
    <row r="107" spans="1:11" s="1" customFormat="1" x14ac:dyDescent="0.25">
      <c r="K107" s="27"/>
    </row>
    <row r="108" spans="1:11" x14ac:dyDescent="0.25">
      <c r="A108" s="1"/>
      <c r="B108" s="1"/>
      <c r="C108" s="1"/>
      <c r="D108" s="1"/>
      <c r="E108" s="1"/>
    </row>
    <row r="109" spans="1:11" x14ac:dyDescent="0.25">
      <c r="A109" s="1"/>
      <c r="B109" s="1"/>
      <c r="C109" s="1"/>
      <c r="D109" s="1"/>
      <c r="E109" s="1"/>
    </row>
    <row r="110" spans="1:11" x14ac:dyDescent="0.25">
      <c r="A110" s="1"/>
      <c r="B110" s="1"/>
      <c r="C110" s="1"/>
      <c r="D110" s="1"/>
      <c r="E110" s="1"/>
    </row>
    <row r="111" spans="1:11" x14ac:dyDescent="0.25">
      <c r="A111" s="1"/>
      <c r="B111" s="1"/>
      <c r="C111" s="1"/>
      <c r="D111" s="1"/>
      <c r="E111" s="1"/>
    </row>
    <row r="112" spans="1:11" x14ac:dyDescent="0.25">
      <c r="A112" s="1"/>
      <c r="B112" s="1"/>
      <c r="C112" s="1"/>
      <c r="D112" s="1"/>
      <c r="E112" s="1"/>
    </row>
    <row r="113" spans="1:11" x14ac:dyDescent="0.25">
      <c r="A113" s="1"/>
      <c r="B113" s="1"/>
      <c r="C113" s="1"/>
      <c r="D113" s="1"/>
      <c r="E113" s="1"/>
    </row>
    <row r="114" spans="1:11" x14ac:dyDescent="0.25">
      <c r="A114" s="1"/>
      <c r="B114" s="1"/>
      <c r="C114" s="1"/>
      <c r="D114" s="1"/>
      <c r="E114" s="1"/>
    </row>
    <row r="117" spans="1:11" ht="15.75" x14ac:dyDescent="0.25">
      <c r="A117" s="17" t="s">
        <v>49</v>
      </c>
      <c r="B117" s="1"/>
      <c r="C117" s="17" t="s">
        <v>0</v>
      </c>
      <c r="D117" s="17" t="s">
        <v>2</v>
      </c>
      <c r="E117" s="17" t="s">
        <v>11</v>
      </c>
      <c r="I117" s="17" t="s">
        <v>91</v>
      </c>
    </row>
    <row r="118" spans="1:11" ht="15.75" x14ac:dyDescent="0.25">
      <c r="A118" s="30" t="s">
        <v>134</v>
      </c>
      <c r="B118" s="2"/>
      <c r="C118" s="6" t="s">
        <v>43</v>
      </c>
      <c r="D118" s="8" t="s">
        <v>50</v>
      </c>
      <c r="E118" s="21" t="s">
        <v>81</v>
      </c>
      <c r="I118" s="23" t="s">
        <v>92</v>
      </c>
    </row>
    <row r="119" spans="1:11" ht="15.75" x14ac:dyDescent="0.25">
      <c r="A119" s="30" t="s">
        <v>135</v>
      </c>
      <c r="B119" s="2"/>
      <c r="C119" s="6" t="s">
        <v>44</v>
      </c>
      <c r="D119" s="8" t="s">
        <v>51</v>
      </c>
      <c r="E119" s="22" t="s">
        <v>82</v>
      </c>
    </row>
    <row r="120" spans="1:11" ht="15.75" x14ac:dyDescent="0.25">
      <c r="A120" s="30" t="s">
        <v>136</v>
      </c>
      <c r="B120" s="2"/>
      <c r="C120" s="6" t="s">
        <v>45</v>
      </c>
      <c r="D120" s="8" t="s">
        <v>52</v>
      </c>
      <c r="E120" s="21" t="s">
        <v>83</v>
      </c>
    </row>
    <row r="121" spans="1:11" ht="15.75" x14ac:dyDescent="0.25">
      <c r="A121" s="30" t="s">
        <v>13</v>
      </c>
      <c r="B121" s="2"/>
      <c r="C121" s="7" t="s">
        <v>46</v>
      </c>
      <c r="D121" s="8" t="s">
        <v>53</v>
      </c>
      <c r="E121" s="21" t="s">
        <v>84</v>
      </c>
    </row>
    <row r="122" spans="1:11" ht="15.75" x14ac:dyDescent="0.25">
      <c r="A122" s="30" t="s">
        <v>14</v>
      </c>
      <c r="B122" s="2"/>
      <c r="C122" s="7" t="s">
        <v>47</v>
      </c>
      <c r="D122" s="1"/>
      <c r="E122" s="18" t="s">
        <v>80</v>
      </c>
    </row>
    <row r="123" spans="1:11" ht="15.75" x14ac:dyDescent="0.25">
      <c r="A123" s="30" t="s">
        <v>15</v>
      </c>
      <c r="B123" s="2"/>
      <c r="C123" s="7" t="s">
        <v>48</v>
      </c>
      <c r="D123" s="1"/>
      <c r="E123" s="1"/>
    </row>
    <row r="124" spans="1:11" ht="15.75" x14ac:dyDescent="0.25">
      <c r="A124" s="30" t="s">
        <v>16</v>
      </c>
      <c r="B124" s="2"/>
      <c r="C124" s="1"/>
      <c r="D124" s="1"/>
      <c r="E124" s="1"/>
    </row>
    <row r="125" spans="1:11" ht="15.75" x14ac:dyDescent="0.25">
      <c r="A125" s="30" t="s">
        <v>17</v>
      </c>
      <c r="B125" s="2"/>
      <c r="C125" s="1"/>
      <c r="D125" s="15" t="s">
        <v>3</v>
      </c>
      <c r="E125" s="1"/>
    </row>
    <row r="126" spans="1:11" s="1" customFormat="1" ht="15.75" x14ac:dyDescent="0.25">
      <c r="A126" s="30" t="s">
        <v>18</v>
      </c>
      <c r="B126" s="2"/>
      <c r="D126" s="6" t="s">
        <v>54</v>
      </c>
      <c r="K126" s="27"/>
    </row>
    <row r="127" spans="1:11" s="1" customFormat="1" ht="15.75" x14ac:dyDescent="0.25">
      <c r="A127" s="30" t="s">
        <v>89</v>
      </c>
      <c r="B127" s="2"/>
      <c r="D127" s="6" t="s">
        <v>55</v>
      </c>
      <c r="K127" s="27"/>
    </row>
    <row r="128" spans="1:11" s="1" customFormat="1" ht="15.75" x14ac:dyDescent="0.25">
      <c r="A128" s="30" t="s">
        <v>19</v>
      </c>
      <c r="B128" s="2"/>
      <c r="D128" s="6" t="s">
        <v>56</v>
      </c>
      <c r="K128" s="27"/>
    </row>
    <row r="129" spans="1:11" s="1" customFormat="1" ht="15.75" x14ac:dyDescent="0.25">
      <c r="A129" s="30" t="s">
        <v>120</v>
      </c>
      <c r="B129" s="2"/>
      <c r="D129" s="6" t="s">
        <v>57</v>
      </c>
      <c r="K129" s="27"/>
    </row>
    <row r="130" spans="1:11" ht="15.75" x14ac:dyDescent="0.25">
      <c r="A130" s="30" t="s">
        <v>20</v>
      </c>
      <c r="B130" s="2"/>
      <c r="C130" s="1"/>
      <c r="D130" s="1"/>
      <c r="E130" s="1"/>
    </row>
    <row r="131" spans="1:11" ht="15.75" x14ac:dyDescent="0.25">
      <c r="A131" s="30" t="s">
        <v>121</v>
      </c>
      <c r="B131" s="2"/>
      <c r="C131" s="1"/>
      <c r="D131" s="16" t="s">
        <v>58</v>
      </c>
      <c r="E131" s="1"/>
    </row>
    <row r="132" spans="1:11" ht="15.75" x14ac:dyDescent="0.25">
      <c r="A132" s="30" t="s">
        <v>21</v>
      </c>
      <c r="B132" s="2"/>
      <c r="C132" s="1"/>
      <c r="D132" s="24" t="s">
        <v>107</v>
      </c>
      <c r="E132" s="10"/>
    </row>
    <row r="133" spans="1:11" ht="15.75" x14ac:dyDescent="0.25">
      <c r="A133" s="30" t="s">
        <v>122</v>
      </c>
      <c r="B133" s="2"/>
      <c r="C133" s="1"/>
      <c r="D133" s="24" t="s">
        <v>114</v>
      </c>
      <c r="E133" s="10"/>
    </row>
    <row r="134" spans="1:11" ht="15.75" x14ac:dyDescent="0.25">
      <c r="A134" s="30" t="s">
        <v>22</v>
      </c>
      <c r="B134" s="2"/>
      <c r="C134" s="1"/>
      <c r="D134" s="24" t="s">
        <v>108</v>
      </c>
      <c r="E134" s="10"/>
    </row>
    <row r="135" spans="1:11" s="1" customFormat="1" ht="15.75" x14ac:dyDescent="0.25">
      <c r="A135" s="30" t="s">
        <v>123</v>
      </c>
      <c r="B135" s="2"/>
      <c r="D135" s="24" t="s">
        <v>109</v>
      </c>
      <c r="E135" s="10"/>
      <c r="K135" s="27"/>
    </row>
    <row r="136" spans="1:11" ht="15.75" x14ac:dyDescent="0.25">
      <c r="A136" s="30" t="s">
        <v>23</v>
      </c>
      <c r="B136" s="2"/>
      <c r="C136" s="1"/>
      <c r="D136" s="24" t="s">
        <v>110</v>
      </c>
      <c r="E136" s="10"/>
    </row>
    <row r="137" spans="1:11" ht="15.75" x14ac:dyDescent="0.25">
      <c r="A137" s="30" t="s">
        <v>100</v>
      </c>
      <c r="B137" s="2"/>
      <c r="C137" s="1"/>
      <c r="D137" s="24" t="s">
        <v>111</v>
      </c>
      <c r="E137" s="10"/>
    </row>
    <row r="138" spans="1:11" ht="15.75" x14ac:dyDescent="0.25">
      <c r="A138" s="30" t="s">
        <v>105</v>
      </c>
      <c r="B138" s="2"/>
      <c r="C138" s="1"/>
      <c r="D138" s="24" t="s">
        <v>112</v>
      </c>
      <c r="E138" s="10"/>
    </row>
    <row r="139" spans="1:11" ht="15.75" x14ac:dyDescent="0.25">
      <c r="A139" s="30" t="s">
        <v>24</v>
      </c>
      <c r="B139" s="2"/>
      <c r="C139" s="1"/>
      <c r="D139" s="1"/>
      <c r="E139" s="1"/>
    </row>
    <row r="140" spans="1:11" ht="15.75" x14ac:dyDescent="0.25">
      <c r="A140" s="30" t="s">
        <v>25</v>
      </c>
      <c r="B140" s="2"/>
      <c r="C140" s="1"/>
      <c r="D140" s="1"/>
      <c r="E140" s="1"/>
    </row>
    <row r="141" spans="1:11" ht="15.75" x14ac:dyDescent="0.25">
      <c r="A141" s="30" t="s">
        <v>26</v>
      </c>
      <c r="B141" s="2"/>
      <c r="C141" s="1"/>
      <c r="D141" s="1"/>
      <c r="E141" s="1"/>
    </row>
    <row r="142" spans="1:11" ht="15.75" x14ac:dyDescent="0.25">
      <c r="A142" s="30" t="s">
        <v>27</v>
      </c>
      <c r="B142" s="2"/>
      <c r="C142" s="1"/>
      <c r="D142" s="1"/>
      <c r="E142" s="1"/>
    </row>
    <row r="143" spans="1:11" s="1" customFormat="1" ht="15.75" x14ac:dyDescent="0.25">
      <c r="A143" s="30" t="s">
        <v>28</v>
      </c>
      <c r="B143" s="2"/>
      <c r="K143" s="27"/>
    </row>
    <row r="144" spans="1:11" ht="15.75" x14ac:dyDescent="0.25">
      <c r="A144" s="30" t="s">
        <v>101</v>
      </c>
      <c r="B144" s="2"/>
      <c r="C144" s="17" t="s">
        <v>5</v>
      </c>
      <c r="D144" s="15" t="s">
        <v>68</v>
      </c>
      <c r="E144" s="9"/>
    </row>
    <row r="145" spans="1:11" ht="15.75" x14ac:dyDescent="0.25">
      <c r="A145" s="30" t="s">
        <v>29</v>
      </c>
      <c r="B145" s="2"/>
      <c r="C145" s="3" t="s">
        <v>59</v>
      </c>
      <c r="D145" s="11" t="s">
        <v>75</v>
      </c>
      <c r="E145" s="20"/>
      <c r="F145" s="11"/>
      <c r="G145" s="11"/>
      <c r="H145" s="11"/>
      <c r="I145" s="12"/>
    </row>
    <row r="146" spans="1:11" ht="15.75" x14ac:dyDescent="0.25">
      <c r="A146" s="30" t="s">
        <v>30</v>
      </c>
      <c r="B146" s="2"/>
      <c r="C146" s="3" t="s">
        <v>60</v>
      </c>
      <c r="D146" s="11" t="s">
        <v>90</v>
      </c>
      <c r="E146" s="11"/>
      <c r="F146" s="11"/>
      <c r="G146" s="11"/>
      <c r="H146" s="11"/>
      <c r="I146" s="12"/>
    </row>
    <row r="147" spans="1:11" ht="15.75" x14ac:dyDescent="0.25">
      <c r="A147" s="30" t="s">
        <v>31</v>
      </c>
      <c r="B147" s="2"/>
      <c r="C147" s="3" t="s">
        <v>133</v>
      </c>
      <c r="D147" s="11" t="s">
        <v>85</v>
      </c>
      <c r="E147" s="11"/>
      <c r="F147" s="11"/>
      <c r="G147" s="11"/>
      <c r="H147" s="11"/>
      <c r="I147" s="12"/>
    </row>
    <row r="148" spans="1:11" ht="15.75" x14ac:dyDescent="0.25">
      <c r="A148" s="30" t="s">
        <v>70</v>
      </c>
      <c r="B148" s="2"/>
      <c r="C148" s="3" t="s">
        <v>93</v>
      </c>
      <c r="D148" s="11" t="s">
        <v>86</v>
      </c>
      <c r="E148" s="11"/>
      <c r="F148" s="11"/>
      <c r="G148" s="11"/>
      <c r="H148" s="11"/>
      <c r="I148" s="12"/>
    </row>
    <row r="149" spans="1:11" ht="15.75" x14ac:dyDescent="0.25">
      <c r="A149" s="30" t="s">
        <v>32</v>
      </c>
      <c r="B149" s="2"/>
      <c r="C149" s="3" t="s">
        <v>62</v>
      </c>
      <c r="D149" s="11" t="s">
        <v>76</v>
      </c>
      <c r="E149" s="11"/>
      <c r="F149" s="11"/>
      <c r="G149" s="11"/>
      <c r="H149" s="11"/>
      <c r="I149" s="12"/>
    </row>
    <row r="150" spans="1:11" ht="15.75" x14ac:dyDescent="0.25">
      <c r="A150" s="30" t="s">
        <v>33</v>
      </c>
      <c r="B150" s="2"/>
      <c r="C150" s="3" t="s">
        <v>94</v>
      </c>
      <c r="D150" s="11" t="s">
        <v>77</v>
      </c>
      <c r="E150" s="11"/>
      <c r="F150" s="11"/>
      <c r="G150" s="11"/>
      <c r="H150" s="11"/>
      <c r="I150" s="12"/>
    </row>
    <row r="151" spans="1:11" s="1" customFormat="1" ht="15.75" x14ac:dyDescent="0.25">
      <c r="A151" s="30" t="s">
        <v>34</v>
      </c>
      <c r="B151" s="2"/>
      <c r="C151" s="3" t="s">
        <v>61</v>
      </c>
      <c r="D151" s="11" t="s">
        <v>87</v>
      </c>
      <c r="E151" s="10"/>
      <c r="F151" s="10"/>
      <c r="G151" s="10"/>
      <c r="H151" s="10"/>
      <c r="K151" s="27"/>
    </row>
    <row r="152" spans="1:11" s="1" customFormat="1" ht="15.75" x14ac:dyDescent="0.25">
      <c r="A152" s="30" t="s">
        <v>35</v>
      </c>
      <c r="B152" s="2"/>
      <c r="C152" s="13" t="s">
        <v>63</v>
      </c>
      <c r="D152" s="11" t="s">
        <v>78</v>
      </c>
      <c r="E152"/>
      <c r="K152" s="27"/>
    </row>
    <row r="153" spans="1:11" ht="15.75" x14ac:dyDescent="0.25">
      <c r="A153" s="30" t="s">
        <v>36</v>
      </c>
      <c r="B153" s="2"/>
      <c r="C153" s="30" t="s">
        <v>137</v>
      </c>
      <c r="D153" s="11" t="s">
        <v>79</v>
      </c>
    </row>
    <row r="154" spans="1:11" s="28" customFormat="1" ht="15.75" x14ac:dyDescent="0.25">
      <c r="A154" s="30" t="s">
        <v>37</v>
      </c>
      <c r="B154" s="2"/>
      <c r="C154" s="13" t="s">
        <v>66</v>
      </c>
      <c r="D154" s="1"/>
      <c r="E154"/>
      <c r="F154" s="1"/>
      <c r="G154" s="1"/>
      <c r="H154" s="1"/>
      <c r="I154" s="1"/>
      <c r="J154" s="1"/>
      <c r="K154" s="27"/>
    </row>
    <row r="155" spans="1:11" s="1" customFormat="1" ht="15.75" x14ac:dyDescent="0.25">
      <c r="A155" s="30" t="s">
        <v>124</v>
      </c>
      <c r="B155" s="2"/>
      <c r="C155" s="13"/>
      <c r="E155"/>
      <c r="K155" s="27"/>
    </row>
    <row r="156" spans="1:11" ht="15.75" x14ac:dyDescent="0.25">
      <c r="A156" s="30" t="s">
        <v>71</v>
      </c>
      <c r="B156" s="2"/>
      <c r="C156" s="1"/>
      <c r="D156" s="1"/>
    </row>
    <row r="157" spans="1:11" ht="15.75" x14ac:dyDescent="0.25">
      <c r="A157" s="30" t="s">
        <v>72</v>
      </c>
      <c r="B157" s="2"/>
      <c r="C157" s="1"/>
      <c r="D157" s="1"/>
    </row>
    <row r="158" spans="1:11" s="28" customFormat="1" ht="15.75" x14ac:dyDescent="0.25">
      <c r="A158" s="30" t="s">
        <v>125</v>
      </c>
      <c r="B158" s="2"/>
      <c r="C158" s="1"/>
      <c r="D158" s="1"/>
      <c r="E158" s="1"/>
      <c r="F158" s="1"/>
      <c r="G158" s="1"/>
      <c r="H158" s="1"/>
      <c r="I158" s="1"/>
      <c r="J158" s="1"/>
      <c r="K158" s="27"/>
    </row>
    <row r="159" spans="1:11" s="26" customFormat="1" ht="15.75" x14ac:dyDescent="0.25">
      <c r="A159" s="30" t="s">
        <v>126</v>
      </c>
      <c r="B159" s="2"/>
      <c r="C159" s="1"/>
      <c r="D159" s="1"/>
      <c r="E159" s="1"/>
      <c r="F159" s="1"/>
      <c r="G159" s="1"/>
      <c r="H159" s="1"/>
      <c r="I159" s="1"/>
      <c r="J159" s="1"/>
      <c r="K159" s="27"/>
    </row>
    <row r="160" spans="1:11" s="1" customFormat="1" ht="15.75" x14ac:dyDescent="0.25">
      <c r="A160" s="30" t="s">
        <v>127</v>
      </c>
      <c r="B160" s="2"/>
      <c r="C160"/>
      <c r="D160"/>
      <c r="E160"/>
      <c r="K160" s="27"/>
    </row>
    <row r="161" spans="1:11" ht="15.75" x14ac:dyDescent="0.25">
      <c r="A161" s="30" t="s">
        <v>138</v>
      </c>
      <c r="B161" s="2"/>
      <c r="C161" s="28"/>
      <c r="D161" s="28"/>
      <c r="E161" s="28"/>
      <c r="F161" s="28"/>
      <c r="G161" s="28"/>
      <c r="H161" s="28"/>
      <c r="I161" s="28"/>
      <c r="J161" s="28"/>
      <c r="K161" s="29"/>
    </row>
    <row r="162" spans="1:11" s="1" customFormat="1" ht="15.75" x14ac:dyDescent="0.25">
      <c r="A162" s="30" t="s">
        <v>139</v>
      </c>
      <c r="B162" s="2"/>
      <c r="K162" s="27"/>
    </row>
    <row r="163" spans="1:11" ht="15.75" x14ac:dyDescent="0.25">
      <c r="A163" s="30" t="s">
        <v>140</v>
      </c>
      <c r="B163" s="2"/>
    </row>
    <row r="164" spans="1:11" ht="15.75" x14ac:dyDescent="0.25">
      <c r="A164" s="30" t="s">
        <v>128</v>
      </c>
      <c r="B164" s="2"/>
    </row>
    <row r="165" spans="1:11" s="1" customFormat="1" ht="15.75" x14ac:dyDescent="0.25">
      <c r="A165" s="30" t="s">
        <v>141</v>
      </c>
      <c r="B165" s="2"/>
      <c r="C165" s="28"/>
      <c r="D165" s="28"/>
      <c r="E165" s="28"/>
      <c r="F165" s="28"/>
      <c r="G165" s="28"/>
      <c r="H165" s="28"/>
      <c r="I165" s="28"/>
      <c r="J165" s="28"/>
      <c r="K165" s="29"/>
    </row>
    <row r="166" spans="1:11" ht="15.75" x14ac:dyDescent="0.25">
      <c r="A166" s="30" t="s">
        <v>129</v>
      </c>
      <c r="B166" s="2"/>
      <c r="C166" s="26"/>
      <c r="D166" s="26"/>
      <c r="E166" s="26"/>
      <c r="F166" s="26"/>
      <c r="G166" s="26"/>
      <c r="H166" s="26"/>
      <c r="I166" s="26"/>
      <c r="J166" s="26"/>
    </row>
    <row r="167" spans="1:11" ht="15.75" x14ac:dyDescent="0.25">
      <c r="A167" s="30" t="s">
        <v>130</v>
      </c>
      <c r="B167" s="2"/>
      <c r="C167" s="1"/>
      <c r="D167" s="1"/>
      <c r="E167" s="1"/>
    </row>
    <row r="168" spans="1:11" s="26" customFormat="1" ht="15.75" x14ac:dyDescent="0.25">
      <c r="A168" s="30" t="s">
        <v>118</v>
      </c>
      <c r="B168" s="2"/>
      <c r="C168"/>
      <c r="D168"/>
      <c r="E168"/>
      <c r="F168" s="1"/>
      <c r="G168" s="1"/>
      <c r="H168" s="1"/>
      <c r="I168" s="1"/>
      <c r="J168" s="1"/>
      <c r="K168" s="27"/>
    </row>
    <row r="169" spans="1:11" ht="15.75" x14ac:dyDescent="0.25">
      <c r="A169" s="30" t="s">
        <v>119</v>
      </c>
      <c r="B169" s="2"/>
      <c r="C169" s="1"/>
      <c r="D169" s="1"/>
      <c r="E169" s="1"/>
    </row>
    <row r="170" spans="1:11" s="1" customFormat="1" ht="15.75" x14ac:dyDescent="0.25">
      <c r="A170" s="30" t="s">
        <v>104</v>
      </c>
      <c r="B170" s="2"/>
      <c r="C170"/>
      <c r="D170"/>
      <c r="E170"/>
      <c r="K170" s="27"/>
    </row>
    <row r="171" spans="1:11" ht="15.75" x14ac:dyDescent="0.25">
      <c r="A171" s="30" t="s">
        <v>95</v>
      </c>
      <c r="B171" s="2"/>
    </row>
    <row r="172" spans="1:11" s="26" customFormat="1" ht="15.75" x14ac:dyDescent="0.25">
      <c r="A172" s="30" t="s">
        <v>96</v>
      </c>
      <c r="B172" s="2"/>
      <c r="C172" s="1"/>
      <c r="D172" s="1"/>
      <c r="E172" s="1"/>
      <c r="F172" s="1"/>
      <c r="G172" s="1"/>
      <c r="H172" s="1"/>
      <c r="I172" s="1"/>
      <c r="J172" s="1"/>
      <c r="K172" s="27"/>
    </row>
    <row r="173" spans="1:11" s="26" customFormat="1" ht="15.75" x14ac:dyDescent="0.25">
      <c r="A173" s="30" t="s">
        <v>131</v>
      </c>
      <c r="B173" s="2"/>
      <c r="C173"/>
      <c r="D173"/>
      <c r="E173"/>
      <c r="F173" s="1"/>
      <c r="G173" s="1"/>
      <c r="H173" s="1"/>
      <c r="I173" s="1"/>
      <c r="J173" s="1"/>
      <c r="K173" s="27"/>
    </row>
    <row r="174" spans="1:11" ht="15.75" x14ac:dyDescent="0.25">
      <c r="A174" s="30" t="s">
        <v>97</v>
      </c>
      <c r="B174" s="2"/>
      <c r="C174" s="19"/>
    </row>
    <row r="175" spans="1:11" s="26" customFormat="1" ht="15.75" x14ac:dyDescent="0.25">
      <c r="A175" s="30" t="s">
        <v>132</v>
      </c>
      <c r="B175" s="2"/>
      <c r="C175" s="19"/>
      <c r="K175" s="27"/>
    </row>
    <row r="176" spans="1:11" s="1" customFormat="1" ht="15.75" x14ac:dyDescent="0.25">
      <c r="A176" s="30" t="s">
        <v>99</v>
      </c>
      <c r="B176" s="2"/>
      <c r="C176"/>
      <c r="D176"/>
      <c r="E176"/>
      <c r="K176" s="27"/>
    </row>
    <row r="177" spans="1:11" ht="15.75" x14ac:dyDescent="0.25">
      <c r="A177" s="30" t="s">
        <v>115</v>
      </c>
      <c r="B177" s="2"/>
      <c r="C177" s="1"/>
      <c r="D177" s="1"/>
      <c r="E177" s="1"/>
    </row>
    <row r="178" spans="1:11" ht="15.75" x14ac:dyDescent="0.25">
      <c r="A178" s="30" t="s">
        <v>102</v>
      </c>
      <c r="B178" s="2"/>
    </row>
    <row r="179" spans="1:11" ht="15.75" x14ac:dyDescent="0.25">
      <c r="A179" s="30" t="s">
        <v>103</v>
      </c>
      <c r="B179" s="2"/>
      <c r="C179" s="26"/>
      <c r="D179" s="26"/>
      <c r="E179" s="26"/>
      <c r="F179" s="26"/>
      <c r="G179" s="26"/>
      <c r="H179" s="26"/>
      <c r="I179" s="26"/>
      <c r="J179" s="26"/>
    </row>
    <row r="180" spans="1:11" s="1" customFormat="1" ht="15.75" x14ac:dyDescent="0.25">
      <c r="A180" s="30" t="s">
        <v>98</v>
      </c>
      <c r="B180" s="2"/>
      <c r="C180" s="26"/>
      <c r="D180" s="26"/>
      <c r="E180" s="26"/>
      <c r="F180" s="26"/>
      <c r="G180" s="26"/>
      <c r="H180" s="26"/>
      <c r="I180" s="26"/>
      <c r="J180" s="26"/>
      <c r="K180" s="27"/>
    </row>
    <row r="181" spans="1:11" ht="15.75" x14ac:dyDescent="0.25">
      <c r="A181" s="30" t="s">
        <v>106</v>
      </c>
      <c r="B181" s="2"/>
    </row>
    <row r="182" spans="1:11" s="26" customFormat="1" ht="15.75" x14ac:dyDescent="0.25">
      <c r="A182" s="30" t="s">
        <v>117</v>
      </c>
      <c r="B182" s="2"/>
      <c r="K182" s="27"/>
    </row>
    <row r="183" spans="1:11" ht="15.75" x14ac:dyDescent="0.25">
      <c r="A183" s="30" t="s">
        <v>116</v>
      </c>
      <c r="B183" s="2"/>
      <c r="C183" s="1"/>
      <c r="D183" s="1"/>
      <c r="E183" s="1"/>
    </row>
    <row r="184" spans="1:11" s="1" customFormat="1" ht="15.75" x14ac:dyDescent="0.25">
      <c r="A184" s="30" t="s">
        <v>38</v>
      </c>
      <c r="B184" s="2"/>
      <c r="C184"/>
      <c r="D184"/>
      <c r="E184"/>
      <c r="K184" s="27"/>
    </row>
    <row r="185" spans="1:11" ht="15.75" x14ac:dyDescent="0.25">
      <c r="A185" s="30" t="s">
        <v>39</v>
      </c>
      <c r="B185" s="2"/>
    </row>
    <row r="186" spans="1:11" ht="15.75" x14ac:dyDescent="0.25">
      <c r="A186" s="30" t="s">
        <v>73</v>
      </c>
      <c r="B186" s="2"/>
    </row>
    <row r="187" spans="1:11" ht="15.75" x14ac:dyDescent="0.25">
      <c r="A187" s="30" t="s">
        <v>40</v>
      </c>
      <c r="B187" s="2"/>
      <c r="C187" s="1"/>
      <c r="D187" s="1"/>
      <c r="E187" s="1"/>
    </row>
    <row r="188" spans="1:11" ht="15.75" x14ac:dyDescent="0.25">
      <c r="A188" s="30" t="s">
        <v>41</v>
      </c>
      <c r="B188" s="2"/>
    </row>
    <row r="189" spans="1:11" ht="15.75" x14ac:dyDescent="0.25">
      <c r="A189" s="30" t="s">
        <v>42</v>
      </c>
      <c r="B189" s="2"/>
      <c r="C189" s="26"/>
      <c r="D189" s="26"/>
      <c r="E189" s="26"/>
      <c r="F189" s="26"/>
      <c r="G189" s="26"/>
      <c r="H189" s="26"/>
      <c r="I189" s="26"/>
      <c r="J189" s="26"/>
    </row>
    <row r="190" spans="1:11" ht="15.75" x14ac:dyDescent="0.25">
      <c r="A190" s="3" t="s">
        <v>88</v>
      </c>
      <c r="B190" s="2"/>
    </row>
    <row r="191" spans="1:11" s="28" customFormat="1" ht="15.75" x14ac:dyDescent="0.25">
      <c r="A191" s="3" t="s">
        <v>59</v>
      </c>
      <c r="B191" s="2"/>
      <c r="C191" s="1"/>
      <c r="D191" s="1"/>
      <c r="E191" s="1"/>
      <c r="F191" s="1"/>
      <c r="G191" s="1"/>
      <c r="H191" s="1"/>
      <c r="I191" s="1"/>
      <c r="J191" s="1"/>
      <c r="K191" s="27"/>
    </row>
    <row r="192" spans="1:11" ht="15.75" x14ac:dyDescent="0.25">
      <c r="A192" s="3" t="s">
        <v>61</v>
      </c>
      <c r="B192" s="2"/>
    </row>
    <row r="193" spans="1:11" ht="15.75" x14ac:dyDescent="0.25">
      <c r="A193" s="3" t="s">
        <v>62</v>
      </c>
      <c r="B193" s="2"/>
    </row>
    <row r="194" spans="1:11" ht="15.75" x14ac:dyDescent="0.25">
      <c r="A194" s="3" t="s">
        <v>60</v>
      </c>
    </row>
    <row r="195" spans="1:11" ht="15.75" x14ac:dyDescent="0.25">
      <c r="A195" s="3" t="s">
        <v>133</v>
      </c>
    </row>
    <row r="196" spans="1:11" ht="15.75" x14ac:dyDescent="0.25">
      <c r="A196" s="3" t="s">
        <v>93</v>
      </c>
    </row>
    <row r="197" spans="1:11" ht="15.75" x14ac:dyDescent="0.25">
      <c r="A197" s="3" t="s">
        <v>94</v>
      </c>
    </row>
    <row r="198" spans="1:11" ht="15.75" x14ac:dyDescent="0.25">
      <c r="A198" s="3" t="s">
        <v>137</v>
      </c>
      <c r="B198" s="28"/>
      <c r="C198" s="28"/>
      <c r="D198" s="28"/>
      <c r="E198" s="28"/>
      <c r="F198" s="28"/>
      <c r="G198" s="28"/>
      <c r="H198" s="28"/>
      <c r="I198" s="28"/>
      <c r="J198" s="28"/>
      <c r="K198" s="29"/>
    </row>
    <row r="199" spans="1:11" ht="15.75" x14ac:dyDescent="0.25">
      <c r="A199" s="3" t="s">
        <v>63</v>
      </c>
    </row>
    <row r="200" spans="1:11" ht="15.75" x14ac:dyDescent="0.25">
      <c r="A200" s="30" t="s">
        <v>137</v>
      </c>
    </row>
    <row r="201" spans="1:11" ht="15.75" x14ac:dyDescent="0.25">
      <c r="A201" s="30" t="s">
        <v>66</v>
      </c>
    </row>
    <row r="202" spans="1:11" ht="15.75" x14ac:dyDescent="0.25">
      <c r="A202" s="3" t="s">
        <v>113</v>
      </c>
    </row>
  </sheetData>
  <sortState ref="A7:J26">
    <sortCondition descending="1" ref="E7:E26"/>
  </sortState>
  <mergeCells count="42">
    <mergeCell ref="H68:K68"/>
    <mergeCell ref="H63:K63"/>
    <mergeCell ref="H65:K65"/>
    <mergeCell ref="H66:K66"/>
    <mergeCell ref="H54:K54"/>
    <mergeCell ref="H67:K67"/>
    <mergeCell ref="H64:K64"/>
    <mergeCell ref="H69:K69"/>
    <mergeCell ref="A1:D1"/>
    <mergeCell ref="A2:D2"/>
    <mergeCell ref="A3:D3"/>
    <mergeCell ref="A5:K5"/>
    <mergeCell ref="G41:K41"/>
    <mergeCell ref="G35:K35"/>
    <mergeCell ref="G37:K37"/>
    <mergeCell ref="G36:K36"/>
    <mergeCell ref="G34:K34"/>
    <mergeCell ref="G38:K38"/>
    <mergeCell ref="G40:K40"/>
    <mergeCell ref="G39:K39"/>
    <mergeCell ref="G29:K29"/>
    <mergeCell ref="G28:K28"/>
    <mergeCell ref="A27:B27"/>
    <mergeCell ref="H53:K53"/>
    <mergeCell ref="H55:K55"/>
    <mergeCell ref="G31:K31"/>
    <mergeCell ref="G30:K30"/>
    <mergeCell ref="H50:K50"/>
    <mergeCell ref="H58:K58"/>
    <mergeCell ref="H57:K57"/>
    <mergeCell ref="H51:K51"/>
    <mergeCell ref="H52:K52"/>
    <mergeCell ref="A47:K47"/>
    <mergeCell ref="G43:K43"/>
    <mergeCell ref="G42:K42"/>
    <mergeCell ref="H48:K48"/>
    <mergeCell ref="H49:K49"/>
    <mergeCell ref="H56:K56"/>
    <mergeCell ref="H61:K61"/>
    <mergeCell ref="H62:K62"/>
    <mergeCell ref="A60:K60"/>
    <mergeCell ref="H70:K70"/>
  </mergeCells>
  <dataValidations count="3">
    <dataValidation type="list" allowBlank="1" showInputMessage="1" showErrorMessage="1" sqref="A117:A202">
      <formula1>$A$117:$A$202</formula1>
    </dataValidation>
    <dataValidation type="list" allowBlank="1" showInputMessage="1" showErrorMessage="1" sqref="A44:A45">
      <formula1>$A$118:$A$186</formula1>
    </dataValidation>
    <dataValidation type="date" allowBlank="1" showInputMessage="1" showErrorMessage="1" prompt="Enter Week-Ending Date" sqref="E4:K4">
      <formula1>16438</formula1>
      <formula2>52963</formula2>
    </dataValidation>
  </dataValidations>
  <pageMargins left="0.7" right="0.7" top="0.78" bottom="0.56999999999999995" header="0.24" footer="0.24"/>
  <pageSetup scale="43" fitToHeight="0" orientation="landscape" r:id="rId1"/>
  <headerFooter>
    <oddFooter>&amp;LLP Weekly Recap&amp;R&amp;P of &amp;N</oddFooter>
  </headerFooter>
  <rowBreaks count="1" manualBreakCount="1">
    <brk id="43" max="10" man="1"/>
  </rowBreaks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J104"/>
  <sheetViews>
    <sheetView workbookViewId="0">
      <selection activeCell="C10" sqref="C10:C12"/>
    </sheetView>
  </sheetViews>
  <sheetFormatPr defaultRowHeight="15" x14ac:dyDescent="0.25"/>
  <cols>
    <col min="1" max="1" width="11.85546875" bestFit="1" customWidth="1"/>
    <col min="2" max="2" width="13.7109375" bestFit="1" customWidth="1"/>
    <col min="3" max="3" width="33" bestFit="1" customWidth="1"/>
    <col min="4" max="4" width="11.140625" bestFit="1" customWidth="1"/>
    <col min="5" max="5" width="39.42578125" bestFit="1" customWidth="1"/>
    <col min="8" max="8" width="14.140625" customWidth="1"/>
    <col min="9" max="9" width="13.7109375" bestFit="1" customWidth="1"/>
    <col min="10" max="10" width="17.5703125" bestFit="1" customWidth="1"/>
    <col min="11" max="11" width="13.85546875" bestFit="1" customWidth="1"/>
    <col min="12" max="12" width="10.85546875" bestFit="1" customWidth="1"/>
    <col min="13" max="13" width="12.42578125" bestFit="1" customWidth="1"/>
    <col min="14" max="14" width="16.28515625" style="31" hidden="1" customWidth="1"/>
    <col min="15" max="16" width="16.42578125" style="31" hidden="1" customWidth="1"/>
    <col min="18" max="18" width="14.5703125" customWidth="1"/>
    <col min="19" max="19" width="18.140625" customWidth="1"/>
    <col min="20" max="20" width="18.140625" style="31" customWidth="1"/>
    <col min="21" max="21" width="10.5703125" bestFit="1" customWidth="1"/>
    <col min="22" max="22" width="20.5703125" customWidth="1"/>
    <col min="23" max="23" width="21.140625" customWidth="1"/>
    <col min="26" max="26" width="10.28515625" bestFit="1" customWidth="1"/>
  </cols>
  <sheetData>
    <row r="1" spans="1:36" s="31" customFormat="1" x14ac:dyDescent="0.25"/>
    <row r="2" spans="1:36" s="31" customFormat="1" x14ac:dyDescent="0.25">
      <c r="A2" s="69" t="s">
        <v>843</v>
      </c>
      <c r="B2" s="69"/>
      <c r="C2" s="69"/>
      <c r="V2" s="78" t="s">
        <v>150</v>
      </c>
    </row>
    <row r="3" spans="1:36" s="31" customFormat="1" x14ac:dyDescent="0.25"/>
    <row r="4" spans="1:36" s="31" customFormat="1" x14ac:dyDescent="0.25"/>
    <row r="5" spans="1:36" x14ac:dyDescent="0.25">
      <c r="A5" s="80" t="s">
        <v>64</v>
      </c>
      <c r="B5" s="80" t="s">
        <v>145</v>
      </c>
      <c r="C5" s="80" t="s">
        <v>146</v>
      </c>
      <c r="D5" s="80" t="s">
        <v>147</v>
      </c>
      <c r="E5" s="80" t="s">
        <v>148</v>
      </c>
      <c r="H5" s="78" t="s">
        <v>5</v>
      </c>
      <c r="I5" s="78" t="s">
        <v>837</v>
      </c>
      <c r="J5" s="78" t="s">
        <v>7</v>
      </c>
      <c r="K5" s="78" t="s">
        <v>838</v>
      </c>
      <c r="L5" s="78" t="s">
        <v>69</v>
      </c>
      <c r="M5" s="78" t="s">
        <v>9</v>
      </c>
      <c r="N5" s="78" t="s">
        <v>839</v>
      </c>
      <c r="O5" s="78" t="s">
        <v>840</v>
      </c>
      <c r="P5" s="78" t="s">
        <v>842</v>
      </c>
      <c r="R5" s="81" t="s">
        <v>5</v>
      </c>
      <c r="S5" s="81" t="s">
        <v>833</v>
      </c>
      <c r="T5" s="81" t="s">
        <v>836</v>
      </c>
      <c r="U5" s="81" t="s">
        <v>834</v>
      </c>
      <c r="V5" s="81" t="s">
        <v>835</v>
      </c>
      <c r="W5" s="81" t="s">
        <v>841</v>
      </c>
      <c r="X5" s="81"/>
      <c r="Y5" s="81"/>
      <c r="Z5" s="81"/>
      <c r="AA5" s="81"/>
      <c r="AB5" s="81"/>
      <c r="AC5" s="81"/>
      <c r="AD5" s="81"/>
      <c r="AE5" s="81"/>
      <c r="AF5" s="81"/>
      <c r="AG5" s="25"/>
      <c r="AH5" s="25"/>
      <c r="AI5" s="25"/>
      <c r="AJ5" s="25"/>
    </row>
    <row r="6" spans="1:36" x14ac:dyDescent="0.25">
      <c r="A6">
        <v>1072</v>
      </c>
      <c r="B6" t="s">
        <v>918</v>
      </c>
      <c r="C6" t="s">
        <v>919</v>
      </c>
      <c r="D6" s="82">
        <v>2843.78</v>
      </c>
      <c r="E6" s="84" t="s">
        <v>920</v>
      </c>
      <c r="H6" t="s">
        <v>59</v>
      </c>
      <c r="I6" s="77">
        <f>COUNTIF($T$6:$T$103,N6)</f>
        <v>1</v>
      </c>
      <c r="J6" s="77">
        <f>COUNTIF($W$6:$W$103,P6)</f>
        <v>0</v>
      </c>
      <c r="K6" s="77">
        <f>COUNTIF($T$6:$T$103,O6)</f>
        <v>0</v>
      </c>
      <c r="L6" s="77">
        <f>I6+K6</f>
        <v>1</v>
      </c>
      <c r="M6" s="79">
        <f>SUMIF($R$6:$R$103,H6,$U$6:$U$103)</f>
        <v>2500</v>
      </c>
      <c r="N6" s="85" t="str">
        <f>H6&amp;"-"&amp;$I$5</f>
        <v>Mid Atlantic-DE</v>
      </c>
      <c r="O6" s="85" t="str">
        <f>H6&amp;"-"&amp;$K$5</f>
        <v>Mid Atlantic-PV</v>
      </c>
      <c r="P6" s="85" t="str">
        <f>H6&amp;"-"&amp;"TRUE"</f>
        <v>Mid Atlantic-TRUE</v>
      </c>
      <c r="R6" t="str">
        <f>IF(ISERROR(VLOOKUP(A6,'Alignment - No Action Needed'!$A$6:$F$1733,5,FALSE)),"",VLOOKUP(A6,'Alignment - No Action Needed'!$A$6:$F$1733,5,FALSE))</f>
        <v>West</v>
      </c>
      <c r="S6" t="str">
        <f>LEFT(B6,2)</f>
        <v>DE</v>
      </c>
      <c r="T6" s="31" t="str">
        <f>R6&amp;"-"&amp;S6</f>
        <v>West-DE</v>
      </c>
      <c r="U6" s="83">
        <f>D6</f>
        <v>2843.78</v>
      </c>
      <c r="V6" t="b">
        <f>ISNUMBER(SEARCH($V$2,E6))</f>
        <v>1</v>
      </c>
      <c r="W6" t="str">
        <f>R6&amp;"-"&amp;V6</f>
        <v>West-TRUE</v>
      </c>
    </row>
    <row r="7" spans="1:36" x14ac:dyDescent="0.25">
      <c r="A7">
        <v>1076</v>
      </c>
      <c r="B7" t="s">
        <v>921</v>
      </c>
      <c r="C7" t="s">
        <v>922</v>
      </c>
      <c r="D7" s="82">
        <v>16.04</v>
      </c>
      <c r="E7" s="84" t="s">
        <v>149</v>
      </c>
      <c r="H7" t="s">
        <v>62</v>
      </c>
      <c r="I7" s="77">
        <f t="shared" ref="I7" si="0">COUNTIF($T$6:$T$103,N7)</f>
        <v>1</v>
      </c>
      <c r="J7" s="77">
        <f t="shared" ref="J7" si="1">COUNTIF($W$6:$W$103,P7)</f>
        <v>0</v>
      </c>
      <c r="K7" s="77">
        <f t="shared" ref="K7" si="2">COUNTIF($T$6:$T$103,O7)</f>
        <v>0</v>
      </c>
      <c r="L7" s="77">
        <f t="shared" ref="L7:L13" si="3">I7+K7</f>
        <v>1</v>
      </c>
      <c r="M7" s="79">
        <f t="shared" ref="M7:M13" si="4">SUMIF($R$6:$R$103,H7,$U$6:$U$103)</f>
        <v>1090</v>
      </c>
      <c r="N7" s="85" t="str">
        <f t="shared" ref="N7" si="5">H7&amp;"-"&amp;$I$5</f>
        <v>Midwest-DE</v>
      </c>
      <c r="O7" s="85" t="str">
        <f t="shared" ref="O7" si="6">H7&amp;"-"&amp;$K$5</f>
        <v>Midwest-PV</v>
      </c>
      <c r="P7" s="85" t="str">
        <f t="shared" ref="P7" si="7">H7&amp;"-"&amp;"TRUE"</f>
        <v>Midwest-TRUE</v>
      </c>
      <c r="R7" s="31" t="str">
        <f>IF(ISERROR(VLOOKUP(A7,'Alignment - No Action Needed'!$A$6:$F$1733,5,FALSE)),"",VLOOKUP(A7,'Alignment - No Action Needed'!$A$6:$F$1733,5,FALSE))</f>
        <v>West</v>
      </c>
      <c r="S7" s="31" t="str">
        <f t="shared" ref="S7:S19" si="8">LEFT(B7,2)</f>
        <v>DE</v>
      </c>
      <c r="T7" s="31" t="str">
        <f t="shared" ref="T7:T70" si="9">R7&amp;"-"&amp;S7</f>
        <v>West-DE</v>
      </c>
      <c r="U7" s="83">
        <f t="shared" ref="U7:U19" si="10">D7</f>
        <v>16.04</v>
      </c>
      <c r="V7" s="31" t="b">
        <f t="shared" ref="V7:V19" si="11">ISNUMBER(SEARCH($V$2,E7))</f>
        <v>0</v>
      </c>
      <c r="W7" s="31" t="str">
        <f t="shared" ref="W7:W70" si="12">R7&amp;"-"&amp;V7</f>
        <v>West-FALSE</v>
      </c>
    </row>
    <row r="8" spans="1:36" x14ac:dyDescent="0.25">
      <c r="A8">
        <v>181</v>
      </c>
      <c r="B8" t="s">
        <v>923</v>
      </c>
      <c r="C8" t="s">
        <v>924</v>
      </c>
      <c r="D8" s="82">
        <v>1090</v>
      </c>
      <c r="E8" s="84" t="s">
        <v>925</v>
      </c>
      <c r="H8" t="s">
        <v>60</v>
      </c>
      <c r="I8" s="77">
        <f t="shared" ref="I8:I13" si="13">COUNTIF($T$6:$T$103,N9)</f>
        <v>2</v>
      </c>
      <c r="J8" s="77">
        <f t="shared" ref="J8:J13" si="14">COUNTIF($W$6:$W$103,P9)</f>
        <v>0</v>
      </c>
      <c r="K8" s="77">
        <f t="shared" ref="K8:K13" si="15">COUNTIF($T$6:$T$103,O9)</f>
        <v>1</v>
      </c>
      <c r="L8" s="77">
        <f t="shared" si="3"/>
        <v>3</v>
      </c>
      <c r="M8" s="79">
        <f t="shared" si="4"/>
        <v>105.4875</v>
      </c>
      <c r="N8" s="85" t="e">
        <f>#REF!&amp;"-"&amp;$I$5</f>
        <v>#REF!</v>
      </c>
      <c r="O8" s="85" t="e">
        <f>#REF!&amp;"-"&amp;$K$5</f>
        <v>#REF!</v>
      </c>
      <c r="P8" s="85" t="e">
        <f>#REF!&amp;"-"&amp;"TRUE"</f>
        <v>#REF!</v>
      </c>
      <c r="R8" s="31" t="str">
        <f>IF(ISERROR(VLOOKUP(A8,'Alignment - No Action Needed'!$A$6:$F$1733,5,FALSE)),"",VLOOKUP(A8,'Alignment - No Action Needed'!$A$6:$F$1733,5,FALSE))</f>
        <v>Midwest</v>
      </c>
      <c r="S8" s="31" t="str">
        <f t="shared" si="8"/>
        <v>DE</v>
      </c>
      <c r="T8" s="31" t="str">
        <f t="shared" si="9"/>
        <v>Midwest-DE</v>
      </c>
      <c r="U8" s="83">
        <f t="shared" si="10"/>
        <v>1090</v>
      </c>
      <c r="V8" s="31" t="b">
        <f t="shared" si="11"/>
        <v>0</v>
      </c>
      <c r="W8" s="31" t="str">
        <f t="shared" si="12"/>
        <v>Midwest-FALSE</v>
      </c>
    </row>
    <row r="9" spans="1:36" x14ac:dyDescent="0.25">
      <c r="A9">
        <v>414</v>
      </c>
      <c r="B9" t="s">
        <v>926</v>
      </c>
      <c r="C9" t="s">
        <v>151</v>
      </c>
      <c r="D9" s="82">
        <v>2500</v>
      </c>
      <c r="E9" s="84" t="s">
        <v>149</v>
      </c>
      <c r="H9" t="s">
        <v>133</v>
      </c>
      <c r="I9" s="77">
        <f t="shared" si="13"/>
        <v>0</v>
      </c>
      <c r="J9" s="77">
        <f t="shared" si="14"/>
        <v>0</v>
      </c>
      <c r="K9" s="77">
        <f t="shared" si="15"/>
        <v>0</v>
      </c>
      <c r="L9" s="77">
        <f t="shared" si="3"/>
        <v>0</v>
      </c>
      <c r="M9" s="79">
        <f t="shared" si="4"/>
        <v>0</v>
      </c>
      <c r="N9" s="85" t="str">
        <f t="shared" ref="N9:N15" si="16">H8&amp;"-"&amp;$I$5</f>
        <v>Northeast-DE</v>
      </c>
      <c r="O9" s="85" t="str">
        <f t="shared" ref="O9:O15" si="17">H8&amp;"-"&amp;$K$5</f>
        <v>Northeast-PV</v>
      </c>
      <c r="P9" s="85" t="str">
        <f t="shared" ref="P9:P15" si="18">H8&amp;"-"&amp;"TRUE"</f>
        <v>Northeast-TRUE</v>
      </c>
      <c r="R9" s="31" t="str">
        <f>IF(ISERROR(VLOOKUP(A9,'Alignment - No Action Needed'!$A$6:$F$1733,5,FALSE)),"",VLOOKUP(A9,'Alignment - No Action Needed'!$A$6:$F$1733,5,FALSE))</f>
        <v>Mid Atlantic</v>
      </c>
      <c r="S9" s="31" t="str">
        <f t="shared" si="8"/>
        <v>DE</v>
      </c>
      <c r="T9" s="31" t="str">
        <f t="shared" si="9"/>
        <v>Mid Atlantic-DE</v>
      </c>
      <c r="U9" s="83">
        <f t="shared" si="10"/>
        <v>2500</v>
      </c>
      <c r="V9" s="31" t="b">
        <f t="shared" si="11"/>
        <v>0</v>
      </c>
      <c r="W9" s="31" t="str">
        <f t="shared" si="12"/>
        <v>Mid Atlantic-FALSE</v>
      </c>
    </row>
    <row r="10" spans="1:36" x14ac:dyDescent="0.25">
      <c r="A10">
        <v>255</v>
      </c>
      <c r="B10" t="s">
        <v>927</v>
      </c>
      <c r="C10" t="s">
        <v>928</v>
      </c>
      <c r="D10" s="82">
        <v>85.487499999999997</v>
      </c>
      <c r="E10" s="84" t="s">
        <v>149</v>
      </c>
      <c r="H10" t="s">
        <v>93</v>
      </c>
      <c r="I10" s="77">
        <f t="shared" si="13"/>
        <v>2</v>
      </c>
      <c r="J10" s="77">
        <f t="shared" si="14"/>
        <v>0</v>
      </c>
      <c r="K10" s="77">
        <f t="shared" si="15"/>
        <v>0</v>
      </c>
      <c r="L10" s="77">
        <f t="shared" si="3"/>
        <v>2</v>
      </c>
      <c r="M10" s="79">
        <f t="shared" si="4"/>
        <v>40</v>
      </c>
      <c r="N10" s="85" t="str">
        <f t="shared" si="16"/>
        <v>Ohio Valley-DE</v>
      </c>
      <c r="O10" s="85" t="str">
        <f t="shared" si="17"/>
        <v>Ohio Valley-PV</v>
      </c>
      <c r="P10" s="85" t="str">
        <f t="shared" si="18"/>
        <v>Ohio Valley-TRUE</v>
      </c>
      <c r="R10" s="31" t="str">
        <f>IF(ISERROR(VLOOKUP(A10,'Alignment - No Action Needed'!$A$6:$F$1733,5,FALSE)),"",VLOOKUP(A10,'Alignment - No Action Needed'!$A$6:$F$1733,5,FALSE))</f>
        <v>Northeast</v>
      </c>
      <c r="S10" s="31" t="str">
        <f t="shared" si="8"/>
        <v>PV</v>
      </c>
      <c r="T10" s="31" t="str">
        <f t="shared" si="9"/>
        <v>Northeast-PV</v>
      </c>
      <c r="U10" s="83">
        <f t="shared" si="10"/>
        <v>85.487499999999997</v>
      </c>
      <c r="V10" s="31" t="b">
        <f t="shared" si="11"/>
        <v>0</v>
      </c>
      <c r="W10" s="31" t="str">
        <f t="shared" si="12"/>
        <v>Northeast-FALSE</v>
      </c>
    </row>
    <row r="11" spans="1:36" x14ac:dyDescent="0.25">
      <c r="A11">
        <v>1083</v>
      </c>
      <c r="B11" t="s">
        <v>929</v>
      </c>
      <c r="C11" t="s">
        <v>922</v>
      </c>
      <c r="D11" s="82">
        <v>20</v>
      </c>
      <c r="E11" s="84" t="s">
        <v>149</v>
      </c>
      <c r="H11" t="s">
        <v>94</v>
      </c>
      <c r="I11" s="77">
        <f t="shared" si="13"/>
        <v>0</v>
      </c>
      <c r="J11" s="77">
        <f t="shared" si="14"/>
        <v>0</v>
      </c>
      <c r="K11" s="77">
        <f t="shared" si="15"/>
        <v>0</v>
      </c>
      <c r="L11" s="77">
        <f t="shared" si="3"/>
        <v>0</v>
      </c>
      <c r="M11" s="79">
        <f t="shared" si="4"/>
        <v>0</v>
      </c>
      <c r="N11" s="85" t="str">
        <f t="shared" si="16"/>
        <v>Southeast-DE</v>
      </c>
      <c r="O11" s="85" t="str">
        <f t="shared" si="17"/>
        <v>Southeast-PV</v>
      </c>
      <c r="P11" s="85" t="str">
        <f t="shared" si="18"/>
        <v>Southeast-TRUE</v>
      </c>
      <c r="R11" s="31" t="str">
        <f>IF(ISERROR(VLOOKUP(A11,'Alignment - No Action Needed'!$A$6:$F$1733,5,FALSE)),"",VLOOKUP(A11,'Alignment - No Action Needed'!$A$6:$F$1733,5,FALSE))</f>
        <v>Northeast</v>
      </c>
      <c r="S11" s="31" t="str">
        <f t="shared" si="8"/>
        <v>DE</v>
      </c>
      <c r="T11" s="31" t="str">
        <f t="shared" si="9"/>
        <v>Northeast-DE</v>
      </c>
      <c r="U11" s="83">
        <f t="shared" si="10"/>
        <v>20</v>
      </c>
      <c r="V11" s="31" t="b">
        <f t="shared" si="11"/>
        <v>0</v>
      </c>
      <c r="W11" s="31" t="str">
        <f t="shared" si="12"/>
        <v>Northeast-FALSE</v>
      </c>
    </row>
    <row r="12" spans="1:36" x14ac:dyDescent="0.25">
      <c r="A12">
        <v>1083</v>
      </c>
      <c r="B12" t="s">
        <v>930</v>
      </c>
      <c r="C12" t="s">
        <v>924</v>
      </c>
      <c r="D12" s="82">
        <v>0</v>
      </c>
      <c r="E12" s="84" t="s">
        <v>149</v>
      </c>
      <c r="H12" t="s">
        <v>63</v>
      </c>
      <c r="I12" s="77">
        <f t="shared" si="13"/>
        <v>2</v>
      </c>
      <c r="J12" s="77">
        <f t="shared" si="14"/>
        <v>1</v>
      </c>
      <c r="K12" s="77">
        <f t="shared" si="15"/>
        <v>0</v>
      </c>
      <c r="L12" s="77">
        <f t="shared" si="3"/>
        <v>2</v>
      </c>
      <c r="M12" s="79">
        <f t="shared" si="4"/>
        <v>2859.82</v>
      </c>
      <c r="N12" s="85" t="str">
        <f t="shared" si="16"/>
        <v>Southwest-DE</v>
      </c>
      <c r="O12" s="85" t="str">
        <f t="shared" si="17"/>
        <v>Southwest-PV</v>
      </c>
      <c r="P12" s="85" t="str">
        <f t="shared" si="18"/>
        <v>Southwest-TRUE</v>
      </c>
      <c r="R12" s="31" t="str">
        <f>IF(ISERROR(VLOOKUP(A12,'Alignment - No Action Needed'!$A$6:$F$1733,5,FALSE)),"",VLOOKUP(A12,'Alignment - No Action Needed'!$A$6:$F$1733,5,FALSE))</f>
        <v>Northeast</v>
      </c>
      <c r="S12" s="31" t="str">
        <f t="shared" si="8"/>
        <v>DE</v>
      </c>
      <c r="T12" s="31" t="str">
        <f t="shared" si="9"/>
        <v>Northeast-DE</v>
      </c>
      <c r="U12" s="83">
        <f t="shared" si="10"/>
        <v>0</v>
      </c>
      <c r="V12" s="31" t="b">
        <f t="shared" si="11"/>
        <v>0</v>
      </c>
      <c r="W12" s="31" t="str">
        <f t="shared" si="12"/>
        <v>Northeast-FALSE</v>
      </c>
    </row>
    <row r="13" spans="1:36" x14ac:dyDescent="0.25">
      <c r="A13">
        <v>264</v>
      </c>
      <c r="B13" t="s">
        <v>931</v>
      </c>
      <c r="C13" t="s">
        <v>151</v>
      </c>
      <c r="D13" s="82">
        <v>0</v>
      </c>
      <c r="E13" s="84" t="s">
        <v>149</v>
      </c>
      <c r="H13" t="s">
        <v>137</v>
      </c>
      <c r="I13" s="77">
        <f t="shared" si="13"/>
        <v>0</v>
      </c>
      <c r="J13" s="77">
        <f t="shared" si="14"/>
        <v>0</v>
      </c>
      <c r="K13" s="77">
        <f t="shared" si="15"/>
        <v>0</v>
      </c>
      <c r="L13" s="77">
        <f t="shared" si="3"/>
        <v>0</v>
      </c>
      <c r="M13" s="79">
        <f t="shared" si="4"/>
        <v>0</v>
      </c>
      <c r="N13" s="85" t="str">
        <f t="shared" si="16"/>
        <v>West-DE</v>
      </c>
      <c r="O13" s="85" t="str">
        <f t="shared" si="17"/>
        <v>West-PV</v>
      </c>
      <c r="P13" s="85" t="str">
        <f t="shared" si="18"/>
        <v>West-TRUE</v>
      </c>
      <c r="R13" s="31" t="str">
        <f>IF(ISERROR(VLOOKUP(A13,'Alignment - No Action Needed'!$A$6:$F$1733,5,FALSE)),"",VLOOKUP(A13,'Alignment - No Action Needed'!$A$6:$F$1733,5,FALSE))</f>
        <v>Southeast</v>
      </c>
      <c r="S13" s="31" t="str">
        <f t="shared" si="8"/>
        <v>DE</v>
      </c>
      <c r="T13" s="31" t="str">
        <f t="shared" si="9"/>
        <v>Southeast-DE</v>
      </c>
      <c r="U13" s="83">
        <f t="shared" si="10"/>
        <v>0</v>
      </c>
      <c r="V13" s="31" t="b">
        <f t="shared" si="11"/>
        <v>0</v>
      </c>
      <c r="W13" s="31" t="str">
        <f t="shared" si="12"/>
        <v>Southeast-FALSE</v>
      </c>
    </row>
    <row r="14" spans="1:36" x14ac:dyDescent="0.25">
      <c r="A14">
        <v>419</v>
      </c>
      <c r="B14" t="s">
        <v>932</v>
      </c>
      <c r="C14" t="s">
        <v>924</v>
      </c>
      <c r="D14" s="82">
        <v>40</v>
      </c>
      <c r="E14" s="84" t="s">
        <v>149</v>
      </c>
      <c r="H14" t="s">
        <v>10</v>
      </c>
      <c r="I14" s="77">
        <f>SUM(I6:I13)</f>
        <v>8</v>
      </c>
      <c r="J14" s="77">
        <f>SUM(J6:J13)</f>
        <v>1</v>
      </c>
      <c r="K14" s="77">
        <f>SUM(K6:K13)</f>
        <v>1</v>
      </c>
      <c r="L14" s="77">
        <f>SUM(L6:L13)</f>
        <v>9</v>
      </c>
      <c r="M14" s="79">
        <f>SUM(M6:M13)</f>
        <v>6595.3075000000008</v>
      </c>
      <c r="N14" s="85" t="str">
        <f t="shared" si="16"/>
        <v>F&amp;S-DE</v>
      </c>
      <c r="O14" s="85" t="str">
        <f t="shared" si="17"/>
        <v>F&amp;S-PV</v>
      </c>
      <c r="P14" s="85" t="str">
        <f t="shared" si="18"/>
        <v>F&amp;S-TRUE</v>
      </c>
      <c r="R14" s="31" t="str">
        <f>IF(ISERROR(VLOOKUP(A14,'Alignment - No Action Needed'!$A$6:$F$1733,5,FALSE)),"",VLOOKUP(A14,'Alignment - No Action Needed'!$A$6:$F$1733,5,FALSE))</f>
        <v>Southeast</v>
      </c>
      <c r="S14" s="31" t="str">
        <f t="shared" si="8"/>
        <v>DE</v>
      </c>
      <c r="T14" s="31" t="str">
        <f t="shared" si="9"/>
        <v>Southeast-DE</v>
      </c>
      <c r="U14" s="83">
        <f t="shared" si="10"/>
        <v>40</v>
      </c>
      <c r="V14" s="31" t="b">
        <f t="shared" si="11"/>
        <v>0</v>
      </c>
      <c r="W14" s="31" t="str">
        <f t="shared" si="12"/>
        <v>Southeast-FALSE</v>
      </c>
    </row>
    <row r="15" spans="1:36" x14ac:dyDescent="0.25">
      <c r="D15" s="82"/>
      <c r="E15" s="84"/>
      <c r="I15" s="77"/>
      <c r="J15" s="77"/>
      <c r="K15" s="77"/>
      <c r="L15" s="77"/>
      <c r="M15" s="79"/>
      <c r="N15" s="85" t="str">
        <f t="shared" si="16"/>
        <v>Totals-DE</v>
      </c>
      <c r="O15" s="85" t="str">
        <f t="shared" si="17"/>
        <v>Totals-PV</v>
      </c>
      <c r="P15" s="85" t="str">
        <f t="shared" si="18"/>
        <v>Totals-TRUE</v>
      </c>
      <c r="R15" s="31" t="str">
        <f>IF(ISERROR(VLOOKUP(A15,'Alignment - No Action Needed'!$A$6:$F$1733,5,FALSE)),"",VLOOKUP(A15,'Alignment - No Action Needed'!$A$6:$F$1733,5,FALSE))</f>
        <v/>
      </c>
      <c r="S15" s="31" t="str">
        <f t="shared" si="8"/>
        <v/>
      </c>
      <c r="T15" s="31" t="str">
        <f t="shared" si="9"/>
        <v>-</v>
      </c>
      <c r="U15" s="83">
        <f t="shared" si="10"/>
        <v>0</v>
      </c>
      <c r="V15" s="31" t="b">
        <f t="shared" si="11"/>
        <v>0</v>
      </c>
      <c r="W15" s="31" t="str">
        <f t="shared" si="12"/>
        <v>-FALSE</v>
      </c>
    </row>
    <row r="16" spans="1:36" x14ac:dyDescent="0.25">
      <c r="D16" s="82"/>
      <c r="E16" s="84"/>
      <c r="I16" s="77"/>
      <c r="J16" s="77"/>
      <c r="K16" s="77"/>
      <c r="L16" s="77"/>
      <c r="M16" s="79"/>
      <c r="N16" s="85"/>
      <c r="O16" s="85"/>
      <c r="P16" s="85"/>
      <c r="R16" s="31" t="str">
        <f>IF(ISERROR(VLOOKUP(A16,'Alignment - No Action Needed'!$A$6:$F$1733,5,FALSE)),"",VLOOKUP(A16,'Alignment - No Action Needed'!$A$6:$F$1733,5,FALSE))</f>
        <v/>
      </c>
      <c r="S16" s="31" t="str">
        <f t="shared" si="8"/>
        <v/>
      </c>
      <c r="T16" s="31" t="str">
        <f t="shared" si="9"/>
        <v>-</v>
      </c>
      <c r="U16" s="83">
        <f t="shared" si="10"/>
        <v>0</v>
      </c>
      <c r="V16" s="31" t="b">
        <f t="shared" si="11"/>
        <v>0</v>
      </c>
      <c r="W16" s="31" t="str">
        <f t="shared" si="12"/>
        <v>-FALSE</v>
      </c>
    </row>
    <row r="17" spans="4:23" x14ac:dyDescent="0.25">
      <c r="D17" s="82"/>
      <c r="E17" s="84"/>
      <c r="I17" s="77"/>
      <c r="J17" s="77"/>
      <c r="K17" s="77"/>
      <c r="L17" s="77"/>
      <c r="M17" s="79"/>
      <c r="N17" s="85"/>
      <c r="O17" s="85"/>
      <c r="P17" s="85"/>
      <c r="R17" s="31" t="str">
        <f>IF(ISERROR(VLOOKUP(A17,'Alignment - No Action Needed'!$A$6:$F$1733,5,FALSE)),"",VLOOKUP(A17,'Alignment - No Action Needed'!$A$6:$F$1733,5,FALSE))</f>
        <v/>
      </c>
      <c r="S17" s="31" t="str">
        <f t="shared" si="8"/>
        <v/>
      </c>
      <c r="T17" s="31" t="str">
        <f t="shared" si="9"/>
        <v>-</v>
      </c>
      <c r="U17" s="83">
        <f t="shared" si="10"/>
        <v>0</v>
      </c>
      <c r="V17" s="31" t="b">
        <f t="shared" si="11"/>
        <v>0</v>
      </c>
      <c r="W17" s="31" t="str">
        <f t="shared" si="12"/>
        <v>-FALSE</v>
      </c>
    </row>
    <row r="18" spans="4:23" x14ac:dyDescent="0.25">
      <c r="D18" s="82"/>
      <c r="E18" s="84"/>
      <c r="I18" s="77"/>
      <c r="J18" s="77"/>
      <c r="K18" s="77"/>
      <c r="L18" s="77"/>
      <c r="M18" s="79"/>
      <c r="N18" s="85"/>
      <c r="O18" s="85"/>
      <c r="P18" s="85"/>
      <c r="R18" s="31" t="str">
        <f>IF(ISERROR(VLOOKUP(A18,'Alignment - No Action Needed'!$A$6:$F$1733,5,FALSE)),"",VLOOKUP(A18,'Alignment - No Action Needed'!$A$6:$F$1733,5,FALSE))</f>
        <v/>
      </c>
      <c r="S18" s="31" t="str">
        <f t="shared" si="8"/>
        <v/>
      </c>
      <c r="T18" s="31" t="str">
        <f t="shared" si="9"/>
        <v>-</v>
      </c>
      <c r="U18" s="83">
        <f t="shared" si="10"/>
        <v>0</v>
      </c>
      <c r="V18" s="31" t="b">
        <f t="shared" si="11"/>
        <v>0</v>
      </c>
      <c r="W18" s="31" t="str">
        <f t="shared" si="12"/>
        <v>-FALSE</v>
      </c>
    </row>
    <row r="19" spans="4:23" x14ac:dyDescent="0.25">
      <c r="D19" s="82"/>
      <c r="E19" s="84"/>
      <c r="I19" s="77"/>
      <c r="J19" s="77"/>
      <c r="K19" s="77"/>
      <c r="L19" s="77"/>
      <c r="M19" s="79"/>
      <c r="N19" s="86"/>
      <c r="O19" s="86"/>
      <c r="P19" s="86"/>
      <c r="R19" s="31" t="str">
        <f>IF(ISERROR(VLOOKUP(A19,'Alignment - No Action Needed'!$A$6:$F$1733,5,FALSE)),"",VLOOKUP(A19,'Alignment - No Action Needed'!$A$6:$F$1733,5,FALSE))</f>
        <v/>
      </c>
      <c r="S19" s="31" t="str">
        <f t="shared" si="8"/>
        <v/>
      </c>
      <c r="T19" s="31" t="str">
        <f t="shared" si="9"/>
        <v>-</v>
      </c>
      <c r="U19" s="83">
        <f t="shared" si="10"/>
        <v>0</v>
      </c>
      <c r="V19" s="31" t="b">
        <f t="shared" si="11"/>
        <v>0</v>
      </c>
      <c r="W19" s="31" t="str">
        <f t="shared" si="12"/>
        <v>-FALSE</v>
      </c>
    </row>
    <row r="20" spans="4:23" x14ac:dyDescent="0.25">
      <c r="D20" s="82"/>
      <c r="E20" s="84"/>
      <c r="I20" s="77"/>
      <c r="J20" s="77"/>
      <c r="K20" s="77"/>
      <c r="L20" s="77"/>
      <c r="M20" s="79"/>
      <c r="N20" s="86"/>
      <c r="O20" s="86"/>
      <c r="P20" s="86"/>
      <c r="R20" s="31" t="str">
        <f>IF(ISERROR(VLOOKUP(A20,'Alignment - No Action Needed'!$A$6:$F$1733,5,FALSE)),"",VLOOKUP(A20,'Alignment - No Action Needed'!$A$6:$F$1733,5,FALSE))</f>
        <v/>
      </c>
      <c r="S20" s="31" t="str">
        <f t="shared" ref="S20:S51" si="19">LEFT(B20,2)</f>
        <v/>
      </c>
      <c r="T20" s="31" t="str">
        <f t="shared" si="9"/>
        <v>-</v>
      </c>
      <c r="U20" s="83">
        <f t="shared" ref="U20:U51" si="20">D20</f>
        <v>0</v>
      </c>
      <c r="V20" s="31" t="b">
        <f t="shared" ref="V20:V51" si="21">ISNUMBER(SEARCH($V$2,E20))</f>
        <v>0</v>
      </c>
      <c r="W20" s="31" t="str">
        <f t="shared" si="12"/>
        <v>-FALSE</v>
      </c>
    </row>
    <row r="21" spans="4:23" x14ac:dyDescent="0.25">
      <c r="D21" s="82"/>
      <c r="E21" s="84"/>
      <c r="I21" s="77"/>
      <c r="J21" s="77"/>
      <c r="K21" s="77"/>
      <c r="L21" s="77"/>
      <c r="M21" s="79"/>
      <c r="N21" s="86"/>
      <c r="O21" s="86"/>
      <c r="P21" s="86"/>
      <c r="R21" s="31" t="str">
        <f>IF(ISERROR(VLOOKUP(A21,'Alignment - No Action Needed'!$A$6:$F$1733,5,FALSE)),"",VLOOKUP(A21,'Alignment - No Action Needed'!$A$6:$F$1733,5,FALSE))</f>
        <v/>
      </c>
      <c r="S21" s="31" t="str">
        <f t="shared" si="19"/>
        <v/>
      </c>
      <c r="T21" s="31" t="str">
        <f t="shared" si="9"/>
        <v>-</v>
      </c>
      <c r="U21" s="83">
        <f t="shared" si="20"/>
        <v>0</v>
      </c>
      <c r="V21" s="31" t="b">
        <f t="shared" si="21"/>
        <v>0</v>
      </c>
      <c r="W21" s="31" t="str">
        <f t="shared" si="12"/>
        <v>-FALSE</v>
      </c>
    </row>
    <row r="22" spans="4:23" x14ac:dyDescent="0.25">
      <c r="D22" s="82"/>
      <c r="E22" s="84"/>
      <c r="I22" s="77"/>
      <c r="J22" s="77"/>
      <c r="K22" s="77"/>
      <c r="L22" s="77"/>
      <c r="M22" s="79"/>
      <c r="N22" s="86"/>
      <c r="O22" s="86"/>
      <c r="P22" s="86"/>
      <c r="R22" s="31" t="str">
        <f>IF(ISERROR(VLOOKUP(A22,'Alignment - No Action Needed'!$A$6:$F$1733,5,FALSE)),"",VLOOKUP(A22,'Alignment - No Action Needed'!$A$6:$F$1733,5,FALSE))</f>
        <v/>
      </c>
      <c r="S22" s="31" t="str">
        <f t="shared" si="19"/>
        <v/>
      </c>
      <c r="T22" s="31" t="str">
        <f t="shared" si="9"/>
        <v>-</v>
      </c>
      <c r="U22" s="83">
        <f t="shared" si="20"/>
        <v>0</v>
      </c>
      <c r="V22" s="31" t="b">
        <f t="shared" si="21"/>
        <v>0</v>
      </c>
      <c r="W22" s="31" t="str">
        <f t="shared" si="12"/>
        <v>-FALSE</v>
      </c>
    </row>
    <row r="23" spans="4:23" x14ac:dyDescent="0.25">
      <c r="D23" s="82"/>
      <c r="E23" s="84"/>
      <c r="I23" s="77"/>
      <c r="J23" s="77"/>
      <c r="K23" s="77"/>
      <c r="L23" s="77"/>
      <c r="M23" s="79"/>
      <c r="N23" s="86"/>
      <c r="O23" s="86"/>
      <c r="P23" s="86"/>
      <c r="R23" s="31" t="str">
        <f>IF(ISERROR(VLOOKUP(A23,'Alignment - No Action Needed'!$A$6:$F$1733,5,FALSE)),"",VLOOKUP(A23,'Alignment - No Action Needed'!$A$6:$F$1733,5,FALSE))</f>
        <v/>
      </c>
      <c r="S23" s="31" t="str">
        <f t="shared" si="19"/>
        <v/>
      </c>
      <c r="T23" s="31" t="str">
        <f t="shared" si="9"/>
        <v>-</v>
      </c>
      <c r="U23" s="83">
        <f t="shared" si="20"/>
        <v>0</v>
      </c>
      <c r="V23" s="31" t="b">
        <f t="shared" si="21"/>
        <v>0</v>
      </c>
      <c r="W23" s="31" t="str">
        <f t="shared" si="12"/>
        <v>-FALSE</v>
      </c>
    </row>
    <row r="24" spans="4:23" x14ac:dyDescent="0.25">
      <c r="D24" s="82"/>
      <c r="E24" s="84"/>
      <c r="I24" s="77"/>
      <c r="J24" s="77"/>
      <c r="K24" s="77"/>
      <c r="L24" s="77"/>
      <c r="M24" s="79"/>
      <c r="N24" s="86"/>
      <c r="O24" s="86"/>
      <c r="P24" s="86"/>
      <c r="R24" s="31" t="str">
        <f>IF(ISERROR(VLOOKUP(A24,'Alignment - No Action Needed'!$A$6:$F$1733,5,FALSE)),"",VLOOKUP(A24,'Alignment - No Action Needed'!$A$6:$F$1733,5,FALSE))</f>
        <v/>
      </c>
      <c r="S24" s="31" t="str">
        <f t="shared" si="19"/>
        <v/>
      </c>
      <c r="T24" s="31" t="str">
        <f t="shared" si="9"/>
        <v>-</v>
      </c>
      <c r="U24" s="83">
        <f t="shared" si="20"/>
        <v>0</v>
      </c>
      <c r="V24" s="31" t="b">
        <f t="shared" si="21"/>
        <v>0</v>
      </c>
      <c r="W24" s="31" t="str">
        <f t="shared" si="12"/>
        <v>-FALSE</v>
      </c>
    </row>
    <row r="25" spans="4:23" x14ac:dyDescent="0.25">
      <c r="D25" s="82"/>
      <c r="E25" s="84"/>
      <c r="N25" s="86"/>
      <c r="O25" s="86"/>
      <c r="P25" s="86"/>
      <c r="R25" s="31" t="str">
        <f>IF(ISERROR(VLOOKUP(A25,'Alignment - No Action Needed'!$A$6:$F$1733,5,FALSE)),"",VLOOKUP(A25,'Alignment - No Action Needed'!$A$6:$F$1733,5,FALSE))</f>
        <v/>
      </c>
      <c r="S25" s="31" t="str">
        <f t="shared" si="19"/>
        <v/>
      </c>
      <c r="T25" s="31" t="str">
        <f t="shared" si="9"/>
        <v>-</v>
      </c>
      <c r="U25" s="83">
        <f t="shared" si="20"/>
        <v>0</v>
      </c>
      <c r="V25" s="31" t="b">
        <f t="shared" si="21"/>
        <v>0</v>
      </c>
      <c r="W25" s="31" t="str">
        <f t="shared" si="12"/>
        <v>-FALSE</v>
      </c>
    </row>
    <row r="26" spans="4:23" x14ac:dyDescent="0.25">
      <c r="D26" s="82"/>
      <c r="E26" s="84"/>
      <c r="N26" s="87"/>
      <c r="O26" s="87"/>
      <c r="P26" s="87"/>
      <c r="R26" s="31" t="str">
        <f>IF(ISERROR(VLOOKUP(A26,'Alignment - No Action Needed'!$A$6:$F$1733,5,FALSE)),"",VLOOKUP(A26,'Alignment - No Action Needed'!$A$6:$F$1733,5,FALSE))</f>
        <v/>
      </c>
      <c r="S26" s="31" t="str">
        <f t="shared" si="19"/>
        <v/>
      </c>
      <c r="T26" s="31" t="str">
        <f t="shared" si="9"/>
        <v>-</v>
      </c>
      <c r="U26" s="83">
        <f t="shared" si="20"/>
        <v>0</v>
      </c>
      <c r="V26" s="31" t="b">
        <f t="shared" si="21"/>
        <v>0</v>
      </c>
      <c r="W26" s="31" t="str">
        <f t="shared" si="12"/>
        <v>-FALSE</v>
      </c>
    </row>
    <row r="27" spans="4:23" x14ac:dyDescent="0.25">
      <c r="D27" s="82"/>
      <c r="E27" s="84"/>
      <c r="N27" s="87"/>
      <c r="O27" s="87"/>
      <c r="P27" s="87"/>
      <c r="R27" s="31" t="str">
        <f>IF(ISERROR(VLOOKUP(A27,'Alignment - No Action Needed'!$A$6:$F$1733,5,FALSE)),"",VLOOKUP(A27,'Alignment - No Action Needed'!$A$6:$F$1733,5,FALSE))</f>
        <v/>
      </c>
      <c r="S27" s="31" t="str">
        <f t="shared" si="19"/>
        <v/>
      </c>
      <c r="T27" s="31" t="str">
        <f t="shared" si="9"/>
        <v>-</v>
      </c>
      <c r="U27" s="83">
        <f t="shared" si="20"/>
        <v>0</v>
      </c>
      <c r="V27" s="31" t="b">
        <f t="shared" si="21"/>
        <v>0</v>
      </c>
      <c r="W27" s="31" t="str">
        <f t="shared" si="12"/>
        <v>-FALSE</v>
      </c>
    </row>
    <row r="28" spans="4:23" x14ac:dyDescent="0.25">
      <c r="D28" s="82"/>
      <c r="E28" s="84"/>
      <c r="N28" s="87"/>
      <c r="O28" s="87"/>
      <c r="P28" s="87"/>
      <c r="R28" s="31" t="str">
        <f>IF(ISERROR(VLOOKUP(A28,'Alignment - No Action Needed'!$A$6:$F$1733,5,FALSE)),"",VLOOKUP(A28,'Alignment - No Action Needed'!$A$6:$F$1733,5,FALSE))</f>
        <v/>
      </c>
      <c r="S28" s="31" t="str">
        <f t="shared" si="19"/>
        <v/>
      </c>
      <c r="T28" s="31" t="str">
        <f t="shared" si="9"/>
        <v>-</v>
      </c>
      <c r="U28" s="83">
        <f t="shared" si="20"/>
        <v>0</v>
      </c>
      <c r="V28" s="31" t="b">
        <f t="shared" si="21"/>
        <v>0</v>
      </c>
      <c r="W28" s="31" t="str">
        <f t="shared" si="12"/>
        <v>-FALSE</v>
      </c>
    </row>
    <row r="29" spans="4:23" x14ac:dyDescent="0.25">
      <c r="D29" s="82"/>
      <c r="E29" s="84"/>
      <c r="N29" s="87"/>
      <c r="O29" s="87"/>
      <c r="P29" s="87"/>
      <c r="R29" s="31" t="str">
        <f>IF(ISERROR(VLOOKUP(A29,'Alignment - No Action Needed'!$A$6:$F$1733,5,FALSE)),"",VLOOKUP(A29,'Alignment - No Action Needed'!$A$6:$F$1733,5,FALSE))</f>
        <v/>
      </c>
      <c r="S29" s="31" t="str">
        <f t="shared" si="19"/>
        <v/>
      </c>
      <c r="T29" s="31" t="str">
        <f t="shared" si="9"/>
        <v>-</v>
      </c>
      <c r="U29" s="83">
        <f t="shared" si="20"/>
        <v>0</v>
      </c>
      <c r="V29" s="31" t="b">
        <f t="shared" si="21"/>
        <v>0</v>
      </c>
      <c r="W29" s="31" t="str">
        <f t="shared" si="12"/>
        <v>-FALSE</v>
      </c>
    </row>
    <row r="30" spans="4:23" x14ac:dyDescent="0.25">
      <c r="D30" s="82"/>
      <c r="E30" s="84"/>
      <c r="N30" s="87"/>
      <c r="O30" s="87"/>
      <c r="P30" s="87"/>
      <c r="R30" s="31" t="str">
        <f>IF(ISERROR(VLOOKUP(A30,'Alignment - No Action Needed'!$A$6:$F$1733,5,FALSE)),"",VLOOKUP(A30,'Alignment - No Action Needed'!$A$6:$F$1733,5,FALSE))</f>
        <v/>
      </c>
      <c r="S30" s="31" t="str">
        <f t="shared" si="19"/>
        <v/>
      </c>
      <c r="T30" s="31" t="str">
        <f t="shared" si="9"/>
        <v>-</v>
      </c>
      <c r="U30" s="83">
        <f t="shared" si="20"/>
        <v>0</v>
      </c>
      <c r="V30" s="31" t="b">
        <f t="shared" si="21"/>
        <v>0</v>
      </c>
      <c r="W30" s="31" t="str">
        <f t="shared" si="12"/>
        <v>-FALSE</v>
      </c>
    </row>
    <row r="31" spans="4:23" x14ac:dyDescent="0.25">
      <c r="D31" s="82"/>
      <c r="E31" s="84"/>
      <c r="N31" s="87"/>
      <c r="O31" s="87"/>
      <c r="P31" s="87"/>
      <c r="R31" s="31" t="str">
        <f>IF(ISERROR(VLOOKUP(A31,'Alignment - No Action Needed'!$A$6:$F$1733,5,FALSE)),"",VLOOKUP(A31,'Alignment - No Action Needed'!$A$6:$F$1733,5,FALSE))</f>
        <v/>
      </c>
      <c r="S31" s="31" t="str">
        <f t="shared" si="19"/>
        <v/>
      </c>
      <c r="T31" s="31" t="str">
        <f t="shared" si="9"/>
        <v>-</v>
      </c>
      <c r="U31" s="83">
        <f t="shared" si="20"/>
        <v>0</v>
      </c>
      <c r="V31" s="31" t="b">
        <f t="shared" si="21"/>
        <v>0</v>
      </c>
      <c r="W31" s="31" t="str">
        <f t="shared" si="12"/>
        <v>-FALSE</v>
      </c>
    </row>
    <row r="32" spans="4:23" x14ac:dyDescent="0.25">
      <c r="D32" s="82"/>
      <c r="E32" s="84"/>
      <c r="N32" s="87"/>
      <c r="O32" s="87"/>
      <c r="P32" s="87"/>
      <c r="R32" s="31" t="str">
        <f>IF(ISERROR(VLOOKUP(A32,'Alignment - No Action Needed'!$A$6:$F$1733,5,FALSE)),"",VLOOKUP(A32,'Alignment - No Action Needed'!$A$6:$F$1733,5,FALSE))</f>
        <v/>
      </c>
      <c r="S32" s="31" t="str">
        <f t="shared" si="19"/>
        <v/>
      </c>
      <c r="T32" s="31" t="str">
        <f t="shared" si="9"/>
        <v>-</v>
      </c>
      <c r="U32" s="83">
        <f t="shared" si="20"/>
        <v>0</v>
      </c>
      <c r="V32" s="31" t="b">
        <f t="shared" si="21"/>
        <v>0</v>
      </c>
      <c r="W32" s="31" t="str">
        <f t="shared" si="12"/>
        <v>-FALSE</v>
      </c>
    </row>
    <row r="33" spans="1:23" x14ac:dyDescent="0.25">
      <c r="D33" s="82"/>
      <c r="E33" s="84"/>
      <c r="N33" s="87"/>
      <c r="O33" s="87"/>
      <c r="P33" s="87"/>
      <c r="R33" s="31" t="str">
        <f>IF(ISERROR(VLOOKUP(A33,'Alignment - No Action Needed'!$A$6:$F$1733,5,FALSE)),"",VLOOKUP(A33,'Alignment - No Action Needed'!$A$6:$F$1733,5,FALSE))</f>
        <v/>
      </c>
      <c r="S33" s="31" t="str">
        <f t="shared" si="19"/>
        <v/>
      </c>
      <c r="T33" s="31" t="str">
        <f t="shared" si="9"/>
        <v>-</v>
      </c>
      <c r="U33" s="83">
        <f t="shared" si="20"/>
        <v>0</v>
      </c>
      <c r="V33" s="31" t="b">
        <f t="shared" si="21"/>
        <v>0</v>
      </c>
      <c r="W33" s="31" t="str">
        <f t="shared" si="12"/>
        <v>-FALSE</v>
      </c>
    </row>
    <row r="34" spans="1:23" x14ac:dyDescent="0.25">
      <c r="D34" s="82"/>
      <c r="E34" s="84"/>
      <c r="N34" s="87"/>
      <c r="O34" s="87"/>
      <c r="P34" s="87"/>
      <c r="R34" s="31" t="str">
        <f>IF(ISERROR(VLOOKUP(A34,'Alignment - No Action Needed'!$A$6:$F$1733,5,FALSE)),"",VLOOKUP(A34,'Alignment - No Action Needed'!$A$6:$F$1733,5,FALSE))</f>
        <v/>
      </c>
      <c r="S34" s="31" t="str">
        <f t="shared" si="19"/>
        <v/>
      </c>
      <c r="T34" s="31" t="str">
        <f t="shared" si="9"/>
        <v>-</v>
      </c>
      <c r="U34" s="83">
        <f t="shared" si="20"/>
        <v>0</v>
      </c>
      <c r="V34" s="31" t="b">
        <f t="shared" si="21"/>
        <v>0</v>
      </c>
      <c r="W34" s="31" t="str">
        <f t="shared" si="12"/>
        <v>-FALSE</v>
      </c>
    </row>
    <row r="35" spans="1:23" x14ac:dyDescent="0.25">
      <c r="D35" s="82"/>
      <c r="E35" s="84"/>
      <c r="R35" s="31" t="str">
        <f>IF(ISERROR(VLOOKUP(A35,'Alignment - No Action Needed'!$A$6:$F$1733,5,FALSE)),"",VLOOKUP(A35,'Alignment - No Action Needed'!$A$6:$F$1733,5,FALSE))</f>
        <v/>
      </c>
      <c r="S35" s="31" t="str">
        <f t="shared" si="19"/>
        <v/>
      </c>
      <c r="T35" s="31" t="str">
        <f t="shared" si="9"/>
        <v>-</v>
      </c>
      <c r="U35" s="83">
        <f t="shared" si="20"/>
        <v>0</v>
      </c>
      <c r="V35" s="31" t="b">
        <f t="shared" si="21"/>
        <v>0</v>
      </c>
      <c r="W35" s="31" t="str">
        <f t="shared" si="12"/>
        <v>-FALSE</v>
      </c>
    </row>
    <row r="36" spans="1:23" x14ac:dyDescent="0.25">
      <c r="D36" s="82"/>
      <c r="E36" s="84"/>
      <c r="R36" s="31" t="str">
        <f>IF(ISERROR(VLOOKUP(A36,'Alignment - No Action Needed'!$A$6:$F$1733,5,FALSE)),"",VLOOKUP(A36,'Alignment - No Action Needed'!$A$6:$F$1733,5,FALSE))</f>
        <v/>
      </c>
      <c r="S36" s="31" t="str">
        <f t="shared" si="19"/>
        <v/>
      </c>
      <c r="T36" s="31" t="str">
        <f t="shared" si="9"/>
        <v>-</v>
      </c>
      <c r="U36" s="83">
        <f t="shared" si="20"/>
        <v>0</v>
      </c>
      <c r="V36" s="31" t="b">
        <f t="shared" si="21"/>
        <v>0</v>
      </c>
      <c r="W36" s="31" t="str">
        <f t="shared" si="12"/>
        <v>-FALSE</v>
      </c>
    </row>
    <row r="37" spans="1:23" x14ac:dyDescent="0.25">
      <c r="D37" s="82"/>
      <c r="E37" s="84"/>
      <c r="R37" s="31" t="str">
        <f>IF(ISERROR(VLOOKUP(A37,'Alignment - No Action Needed'!$A$6:$F$1733,5,FALSE)),"",VLOOKUP(A37,'Alignment - No Action Needed'!$A$6:$F$1733,5,FALSE))</f>
        <v/>
      </c>
      <c r="S37" s="31" t="str">
        <f t="shared" si="19"/>
        <v/>
      </c>
      <c r="T37" s="31" t="str">
        <f t="shared" si="9"/>
        <v>-</v>
      </c>
      <c r="U37" s="83">
        <f t="shared" si="20"/>
        <v>0</v>
      </c>
      <c r="V37" s="31" t="b">
        <f t="shared" si="21"/>
        <v>0</v>
      </c>
      <c r="W37" s="31" t="str">
        <f t="shared" si="12"/>
        <v>-FALSE</v>
      </c>
    </row>
    <row r="38" spans="1:23" x14ac:dyDescent="0.25">
      <c r="D38" s="82"/>
      <c r="E38" s="84"/>
      <c r="R38" s="31" t="str">
        <f>IF(ISERROR(VLOOKUP(A38,'Alignment - No Action Needed'!$A$6:$F$1733,5,FALSE)),"",VLOOKUP(A38,'Alignment - No Action Needed'!$A$6:$F$1733,5,FALSE))</f>
        <v/>
      </c>
      <c r="S38" s="31" t="str">
        <f t="shared" si="19"/>
        <v/>
      </c>
      <c r="T38" s="31" t="str">
        <f t="shared" si="9"/>
        <v>-</v>
      </c>
      <c r="U38" s="83">
        <f t="shared" si="20"/>
        <v>0</v>
      </c>
      <c r="V38" s="31" t="b">
        <f t="shared" si="21"/>
        <v>0</v>
      </c>
      <c r="W38" s="31" t="str">
        <f t="shared" si="12"/>
        <v>-FALSE</v>
      </c>
    </row>
    <row r="39" spans="1:23" x14ac:dyDescent="0.25">
      <c r="D39" s="82"/>
      <c r="E39" s="84"/>
      <c r="R39" s="31" t="str">
        <f>IF(ISERROR(VLOOKUP(A39,'Alignment - No Action Needed'!$A$6:$F$1733,5,FALSE)),"",VLOOKUP(A39,'Alignment - No Action Needed'!$A$6:$F$1733,5,FALSE))</f>
        <v/>
      </c>
      <c r="S39" s="31" t="str">
        <f t="shared" si="19"/>
        <v/>
      </c>
      <c r="T39" s="31" t="str">
        <f t="shared" si="9"/>
        <v>-</v>
      </c>
      <c r="U39" s="83">
        <f t="shared" si="20"/>
        <v>0</v>
      </c>
      <c r="V39" s="31" t="b">
        <f t="shared" si="21"/>
        <v>0</v>
      </c>
      <c r="W39" s="31" t="str">
        <f t="shared" si="12"/>
        <v>-FALSE</v>
      </c>
    </row>
    <row r="40" spans="1:23" x14ac:dyDescent="0.25">
      <c r="D40" s="82"/>
      <c r="E40" s="84"/>
      <c r="R40" s="31" t="str">
        <f>IF(ISERROR(VLOOKUP(A40,'Alignment - No Action Needed'!$A$6:$F$1733,5,FALSE)),"",VLOOKUP(A40,'Alignment - No Action Needed'!$A$6:$F$1733,5,FALSE))</f>
        <v/>
      </c>
      <c r="S40" s="31" t="str">
        <f t="shared" si="19"/>
        <v/>
      </c>
      <c r="T40" s="31" t="str">
        <f t="shared" si="9"/>
        <v>-</v>
      </c>
      <c r="U40" s="83">
        <f t="shared" si="20"/>
        <v>0</v>
      </c>
      <c r="V40" s="31" t="b">
        <f t="shared" si="21"/>
        <v>0</v>
      </c>
      <c r="W40" s="31" t="str">
        <f t="shared" si="12"/>
        <v>-FALSE</v>
      </c>
    </row>
    <row r="41" spans="1:23" x14ac:dyDescent="0.25">
      <c r="D41" s="82"/>
      <c r="E41" s="84"/>
      <c r="R41" s="31" t="str">
        <f>IF(ISERROR(VLOOKUP(A41,'Alignment - No Action Needed'!$A$6:$F$1733,5,FALSE)),"",VLOOKUP(A41,'Alignment - No Action Needed'!$A$6:$F$1733,5,FALSE))</f>
        <v/>
      </c>
      <c r="S41" s="31" t="str">
        <f t="shared" si="19"/>
        <v/>
      </c>
      <c r="T41" s="31" t="str">
        <f t="shared" si="9"/>
        <v>-</v>
      </c>
      <c r="U41" s="83">
        <f t="shared" si="20"/>
        <v>0</v>
      </c>
      <c r="V41" s="31" t="b">
        <f t="shared" si="21"/>
        <v>0</v>
      </c>
      <c r="W41" s="31" t="str">
        <f t="shared" si="12"/>
        <v>-FALSE</v>
      </c>
    </row>
    <row r="42" spans="1:23" x14ac:dyDescent="0.25">
      <c r="D42" s="82"/>
      <c r="E42" s="84"/>
      <c r="R42" s="31" t="str">
        <f>IF(ISERROR(VLOOKUP(A42,'Alignment - No Action Needed'!$A$6:$F$1733,5,FALSE)),"",VLOOKUP(A42,'Alignment - No Action Needed'!$A$6:$F$1733,5,FALSE))</f>
        <v/>
      </c>
      <c r="S42" s="31" t="str">
        <f t="shared" si="19"/>
        <v/>
      </c>
      <c r="T42" s="31" t="str">
        <f t="shared" si="9"/>
        <v>-</v>
      </c>
      <c r="U42" s="83">
        <f t="shared" si="20"/>
        <v>0</v>
      </c>
      <c r="V42" s="31" t="b">
        <f t="shared" si="21"/>
        <v>0</v>
      </c>
      <c r="W42" s="31" t="str">
        <f t="shared" si="12"/>
        <v>-FALSE</v>
      </c>
    </row>
    <row r="43" spans="1:23" x14ac:dyDescent="0.25">
      <c r="D43" s="82"/>
      <c r="E43" s="84"/>
      <c r="R43" s="31" t="str">
        <f>IF(ISERROR(VLOOKUP(A43,'Alignment - No Action Needed'!$A$6:$F$1733,5,FALSE)),"",VLOOKUP(A43,'Alignment - No Action Needed'!$A$6:$F$1733,5,FALSE))</f>
        <v/>
      </c>
      <c r="S43" s="31" t="str">
        <f t="shared" si="19"/>
        <v/>
      </c>
      <c r="T43" s="31" t="str">
        <f t="shared" si="9"/>
        <v>-</v>
      </c>
      <c r="U43" s="83">
        <f t="shared" si="20"/>
        <v>0</v>
      </c>
      <c r="V43" s="31" t="b">
        <f t="shared" si="21"/>
        <v>0</v>
      </c>
      <c r="W43" s="31" t="str">
        <f t="shared" si="12"/>
        <v>-FALSE</v>
      </c>
    </row>
    <row r="44" spans="1:23" x14ac:dyDescent="0.25">
      <c r="A44" s="31"/>
      <c r="D44" s="82"/>
      <c r="E44" s="84"/>
      <c r="R44" s="31" t="str">
        <f>IF(ISERROR(VLOOKUP(A44,'Alignment - No Action Needed'!$A$6:$F$1733,5,FALSE)),"",VLOOKUP(A44,'Alignment - No Action Needed'!$A$6:$F$1733,5,FALSE))</f>
        <v/>
      </c>
      <c r="S44" s="31" t="str">
        <f t="shared" si="19"/>
        <v/>
      </c>
      <c r="T44" s="31" t="str">
        <f t="shared" si="9"/>
        <v>-</v>
      </c>
      <c r="U44" s="83">
        <f t="shared" si="20"/>
        <v>0</v>
      </c>
      <c r="V44" s="31" t="b">
        <f t="shared" si="21"/>
        <v>0</v>
      </c>
      <c r="W44" s="31" t="str">
        <f t="shared" si="12"/>
        <v>-FALSE</v>
      </c>
    </row>
    <row r="45" spans="1:23" x14ac:dyDescent="0.25">
      <c r="D45" s="82"/>
      <c r="E45" s="84"/>
      <c r="R45" s="31" t="str">
        <f>IF(ISERROR(VLOOKUP(A45,'Alignment - No Action Needed'!$A$6:$F$1733,5,FALSE)),"",VLOOKUP(A45,'Alignment - No Action Needed'!$A$6:$F$1733,5,FALSE))</f>
        <v/>
      </c>
      <c r="S45" s="31" t="str">
        <f t="shared" si="19"/>
        <v/>
      </c>
      <c r="T45" s="31" t="str">
        <f t="shared" si="9"/>
        <v>-</v>
      </c>
      <c r="U45" s="83">
        <f t="shared" si="20"/>
        <v>0</v>
      </c>
      <c r="V45" s="31" t="b">
        <f t="shared" si="21"/>
        <v>0</v>
      </c>
      <c r="W45" s="31" t="str">
        <f t="shared" si="12"/>
        <v>-FALSE</v>
      </c>
    </row>
    <row r="46" spans="1:23" x14ac:dyDescent="0.25">
      <c r="D46" s="82"/>
      <c r="E46" s="84"/>
      <c r="R46" s="31" t="str">
        <f>IF(ISERROR(VLOOKUP(A46,'Alignment - No Action Needed'!$A$6:$F$1733,5,FALSE)),"",VLOOKUP(A46,'Alignment - No Action Needed'!$A$6:$F$1733,5,FALSE))</f>
        <v/>
      </c>
      <c r="S46" s="31" t="str">
        <f t="shared" si="19"/>
        <v/>
      </c>
      <c r="T46" s="31" t="str">
        <f t="shared" si="9"/>
        <v>-</v>
      </c>
      <c r="U46" s="83">
        <f t="shared" si="20"/>
        <v>0</v>
      </c>
      <c r="V46" s="31" t="b">
        <f t="shared" si="21"/>
        <v>0</v>
      </c>
      <c r="W46" s="31" t="str">
        <f t="shared" si="12"/>
        <v>-FALSE</v>
      </c>
    </row>
    <row r="47" spans="1:23" x14ac:dyDescent="0.25">
      <c r="D47" s="82"/>
      <c r="E47" s="84"/>
      <c r="R47" s="31" t="str">
        <f>IF(ISERROR(VLOOKUP(A47,'Alignment - No Action Needed'!$A$6:$F$1733,5,FALSE)),"",VLOOKUP(A47,'Alignment - No Action Needed'!$A$6:$F$1733,5,FALSE))</f>
        <v/>
      </c>
      <c r="S47" s="31" t="str">
        <f t="shared" si="19"/>
        <v/>
      </c>
      <c r="T47" s="31" t="str">
        <f t="shared" si="9"/>
        <v>-</v>
      </c>
      <c r="U47" s="83">
        <f t="shared" si="20"/>
        <v>0</v>
      </c>
      <c r="V47" s="31" t="b">
        <f t="shared" si="21"/>
        <v>0</v>
      </c>
      <c r="W47" s="31" t="str">
        <f t="shared" si="12"/>
        <v>-FALSE</v>
      </c>
    </row>
    <row r="48" spans="1:23" x14ac:dyDescent="0.25">
      <c r="D48" s="82"/>
      <c r="E48" s="84"/>
      <c r="R48" s="31" t="str">
        <f>IF(ISERROR(VLOOKUP(A48,'Alignment - No Action Needed'!$A$6:$F$1733,5,FALSE)),"",VLOOKUP(A48,'Alignment - No Action Needed'!$A$6:$F$1733,5,FALSE))</f>
        <v/>
      </c>
      <c r="S48" s="31" t="str">
        <f t="shared" si="19"/>
        <v/>
      </c>
      <c r="T48" s="31" t="str">
        <f t="shared" si="9"/>
        <v>-</v>
      </c>
      <c r="U48" s="83">
        <f t="shared" si="20"/>
        <v>0</v>
      </c>
      <c r="V48" s="31" t="b">
        <f t="shared" si="21"/>
        <v>0</v>
      </c>
      <c r="W48" s="31" t="str">
        <f t="shared" si="12"/>
        <v>-FALSE</v>
      </c>
    </row>
    <row r="49" spans="4:23" x14ac:dyDescent="0.25">
      <c r="D49" s="82"/>
      <c r="E49" s="84"/>
      <c r="R49" s="31" t="str">
        <f>IF(ISERROR(VLOOKUP(A49,'Alignment - No Action Needed'!$A$6:$F$1733,5,FALSE)),"",VLOOKUP(A49,'Alignment - No Action Needed'!$A$6:$F$1733,5,FALSE))</f>
        <v/>
      </c>
      <c r="S49" s="31" t="str">
        <f t="shared" si="19"/>
        <v/>
      </c>
      <c r="T49" s="31" t="str">
        <f t="shared" si="9"/>
        <v>-</v>
      </c>
      <c r="U49" s="83">
        <f t="shared" si="20"/>
        <v>0</v>
      </c>
      <c r="V49" s="31" t="b">
        <f t="shared" si="21"/>
        <v>0</v>
      </c>
      <c r="W49" s="31" t="str">
        <f t="shared" si="12"/>
        <v>-FALSE</v>
      </c>
    </row>
    <row r="50" spans="4:23" x14ac:dyDescent="0.25">
      <c r="D50" s="82"/>
      <c r="E50" s="84"/>
      <c r="R50" s="31" t="str">
        <f>IF(ISERROR(VLOOKUP(A50,'Alignment - No Action Needed'!$A$6:$F$1733,5,FALSE)),"",VLOOKUP(A50,'Alignment - No Action Needed'!$A$6:$F$1733,5,FALSE))</f>
        <v/>
      </c>
      <c r="S50" s="31" t="str">
        <f t="shared" si="19"/>
        <v/>
      </c>
      <c r="T50" s="31" t="str">
        <f t="shared" si="9"/>
        <v>-</v>
      </c>
      <c r="U50" s="83">
        <f t="shared" si="20"/>
        <v>0</v>
      </c>
      <c r="V50" s="31" t="b">
        <f t="shared" si="21"/>
        <v>0</v>
      </c>
      <c r="W50" s="31" t="str">
        <f t="shared" si="12"/>
        <v>-FALSE</v>
      </c>
    </row>
    <row r="51" spans="4:23" x14ac:dyDescent="0.25">
      <c r="D51" s="82"/>
      <c r="E51" s="84"/>
      <c r="R51" s="31" t="str">
        <f>IF(ISERROR(VLOOKUP(A51,'Alignment - No Action Needed'!$A$6:$F$1733,5,FALSE)),"",VLOOKUP(A51,'Alignment - No Action Needed'!$A$6:$F$1733,5,FALSE))</f>
        <v/>
      </c>
      <c r="S51" s="31" t="str">
        <f t="shared" si="19"/>
        <v/>
      </c>
      <c r="T51" s="31" t="str">
        <f t="shared" si="9"/>
        <v>-</v>
      </c>
      <c r="U51" s="83">
        <f t="shared" si="20"/>
        <v>0</v>
      </c>
      <c r="V51" s="31" t="b">
        <f t="shared" si="21"/>
        <v>0</v>
      </c>
      <c r="W51" s="31" t="str">
        <f t="shared" si="12"/>
        <v>-FALSE</v>
      </c>
    </row>
    <row r="52" spans="4:23" x14ac:dyDescent="0.25">
      <c r="D52" s="82"/>
      <c r="E52" s="84"/>
      <c r="R52" s="31" t="str">
        <f>IF(ISERROR(VLOOKUP(A52,'Alignment - No Action Needed'!$A$6:$F$1733,5,FALSE)),"",VLOOKUP(A52,'Alignment - No Action Needed'!$A$6:$F$1733,5,FALSE))</f>
        <v/>
      </c>
      <c r="S52" s="31" t="str">
        <f t="shared" ref="S52:S83" si="22">LEFT(B52,2)</f>
        <v/>
      </c>
      <c r="T52" s="31" t="str">
        <f t="shared" si="9"/>
        <v>-</v>
      </c>
      <c r="U52" s="83">
        <f t="shared" ref="U52:U83" si="23">D52</f>
        <v>0</v>
      </c>
      <c r="V52" s="31" t="b">
        <f t="shared" ref="V52:V83" si="24">ISNUMBER(SEARCH($V$2,E52))</f>
        <v>0</v>
      </c>
      <c r="W52" s="31" t="str">
        <f t="shared" si="12"/>
        <v>-FALSE</v>
      </c>
    </row>
    <row r="53" spans="4:23" x14ac:dyDescent="0.25">
      <c r="D53" s="82"/>
      <c r="E53" s="84"/>
      <c r="R53" s="31" t="str">
        <f>IF(ISERROR(VLOOKUP(A53,'Alignment - No Action Needed'!$A$6:$F$1733,5,FALSE)),"",VLOOKUP(A53,'Alignment - No Action Needed'!$A$6:$F$1733,5,FALSE))</f>
        <v/>
      </c>
      <c r="S53" s="31" t="str">
        <f t="shared" si="22"/>
        <v/>
      </c>
      <c r="T53" s="31" t="str">
        <f t="shared" si="9"/>
        <v>-</v>
      </c>
      <c r="U53" s="83">
        <f t="shared" si="23"/>
        <v>0</v>
      </c>
      <c r="V53" s="31" t="b">
        <f t="shared" si="24"/>
        <v>0</v>
      </c>
      <c r="W53" s="31" t="str">
        <f t="shared" si="12"/>
        <v>-FALSE</v>
      </c>
    </row>
    <row r="54" spans="4:23" x14ac:dyDescent="0.25">
      <c r="D54" s="82"/>
      <c r="E54" s="84"/>
      <c r="R54" s="31" t="str">
        <f>IF(ISERROR(VLOOKUP(A54,'Alignment - No Action Needed'!$A$6:$F$1733,5,FALSE)),"",VLOOKUP(A54,'Alignment - No Action Needed'!$A$6:$F$1733,5,FALSE))</f>
        <v/>
      </c>
      <c r="S54" s="31" t="str">
        <f t="shared" si="22"/>
        <v/>
      </c>
      <c r="T54" s="31" t="str">
        <f t="shared" si="9"/>
        <v>-</v>
      </c>
      <c r="U54" s="83">
        <f t="shared" si="23"/>
        <v>0</v>
      </c>
      <c r="V54" s="31" t="b">
        <f t="shared" si="24"/>
        <v>0</v>
      </c>
      <c r="W54" s="31" t="str">
        <f t="shared" si="12"/>
        <v>-FALSE</v>
      </c>
    </row>
    <row r="55" spans="4:23" x14ac:dyDescent="0.25">
      <c r="D55" s="82"/>
      <c r="E55" s="84"/>
      <c r="R55" s="31" t="str">
        <f>IF(ISERROR(VLOOKUP(A55,'Alignment - No Action Needed'!$A$6:$F$1733,5,FALSE)),"",VLOOKUP(A55,'Alignment - No Action Needed'!$A$6:$F$1733,5,FALSE))</f>
        <v/>
      </c>
      <c r="S55" s="31" t="str">
        <f t="shared" si="22"/>
        <v/>
      </c>
      <c r="T55" s="31" t="str">
        <f t="shared" si="9"/>
        <v>-</v>
      </c>
      <c r="U55" s="83">
        <f t="shared" si="23"/>
        <v>0</v>
      </c>
      <c r="V55" s="31" t="b">
        <f t="shared" si="24"/>
        <v>0</v>
      </c>
      <c r="W55" s="31" t="str">
        <f t="shared" si="12"/>
        <v>-FALSE</v>
      </c>
    </row>
    <row r="56" spans="4:23" x14ac:dyDescent="0.25">
      <c r="D56" s="82"/>
      <c r="E56" s="84"/>
      <c r="R56" s="31" t="str">
        <f>IF(ISERROR(VLOOKUP(A56,'Alignment - No Action Needed'!$A$6:$F$1733,5,FALSE)),"",VLOOKUP(A56,'Alignment - No Action Needed'!$A$6:$F$1733,5,FALSE))</f>
        <v/>
      </c>
      <c r="S56" s="31" t="str">
        <f t="shared" si="22"/>
        <v/>
      </c>
      <c r="T56" s="31" t="str">
        <f t="shared" si="9"/>
        <v>-</v>
      </c>
      <c r="U56" s="83">
        <f t="shared" si="23"/>
        <v>0</v>
      </c>
      <c r="V56" s="31" t="b">
        <f t="shared" si="24"/>
        <v>0</v>
      </c>
      <c r="W56" s="31" t="str">
        <f t="shared" si="12"/>
        <v>-FALSE</v>
      </c>
    </row>
    <row r="57" spans="4:23" x14ac:dyDescent="0.25">
      <c r="D57" s="82"/>
      <c r="E57" s="84"/>
      <c r="R57" s="31" t="str">
        <f>IF(ISERROR(VLOOKUP(A57,'Alignment - No Action Needed'!$A$6:$F$1733,5,FALSE)),"",VLOOKUP(A57,'Alignment - No Action Needed'!$A$6:$F$1733,5,FALSE))</f>
        <v/>
      </c>
      <c r="S57" s="31" t="str">
        <f t="shared" si="22"/>
        <v/>
      </c>
      <c r="T57" s="31" t="str">
        <f t="shared" si="9"/>
        <v>-</v>
      </c>
      <c r="U57" s="83">
        <f t="shared" si="23"/>
        <v>0</v>
      </c>
      <c r="V57" s="31" t="b">
        <f t="shared" si="24"/>
        <v>0</v>
      </c>
      <c r="W57" s="31" t="str">
        <f t="shared" si="12"/>
        <v>-FALSE</v>
      </c>
    </row>
    <row r="58" spans="4:23" x14ac:dyDescent="0.25">
      <c r="D58" s="82"/>
      <c r="E58" s="84"/>
      <c r="R58" s="31" t="str">
        <f>IF(ISERROR(VLOOKUP(A58,'Alignment - No Action Needed'!$A$6:$F$1733,5,FALSE)),"",VLOOKUP(A58,'Alignment - No Action Needed'!$A$6:$F$1733,5,FALSE))</f>
        <v/>
      </c>
      <c r="S58" s="31" t="str">
        <f t="shared" si="22"/>
        <v/>
      </c>
      <c r="T58" s="31" t="str">
        <f t="shared" si="9"/>
        <v>-</v>
      </c>
      <c r="U58" s="83">
        <f t="shared" si="23"/>
        <v>0</v>
      </c>
      <c r="V58" s="31" t="b">
        <f t="shared" si="24"/>
        <v>0</v>
      </c>
      <c r="W58" s="31" t="str">
        <f t="shared" si="12"/>
        <v>-FALSE</v>
      </c>
    </row>
    <row r="59" spans="4:23" x14ac:dyDescent="0.25">
      <c r="D59" s="82"/>
      <c r="E59" s="84"/>
      <c r="R59" s="31" t="str">
        <f>IF(ISERROR(VLOOKUP(A59,'Alignment - No Action Needed'!$A$6:$F$1733,5,FALSE)),"",VLOOKUP(A59,'Alignment - No Action Needed'!$A$6:$F$1733,5,FALSE))</f>
        <v/>
      </c>
      <c r="S59" s="31" t="str">
        <f t="shared" si="22"/>
        <v/>
      </c>
      <c r="T59" s="31" t="str">
        <f t="shared" si="9"/>
        <v>-</v>
      </c>
      <c r="U59" s="83">
        <f t="shared" si="23"/>
        <v>0</v>
      </c>
      <c r="V59" s="31" t="b">
        <f t="shared" si="24"/>
        <v>0</v>
      </c>
      <c r="W59" s="31" t="str">
        <f t="shared" si="12"/>
        <v>-FALSE</v>
      </c>
    </row>
    <row r="60" spans="4:23" x14ac:dyDescent="0.25">
      <c r="D60" s="82"/>
      <c r="E60" s="84"/>
      <c r="R60" s="31" t="str">
        <f>IF(ISERROR(VLOOKUP(A60,'Alignment - No Action Needed'!$A$6:$F$1733,5,FALSE)),"",VLOOKUP(A60,'Alignment - No Action Needed'!$A$6:$F$1733,5,FALSE))</f>
        <v/>
      </c>
      <c r="S60" s="31" t="str">
        <f t="shared" si="22"/>
        <v/>
      </c>
      <c r="T60" s="31" t="str">
        <f t="shared" si="9"/>
        <v>-</v>
      </c>
      <c r="U60" s="83">
        <f t="shared" si="23"/>
        <v>0</v>
      </c>
      <c r="V60" s="31" t="b">
        <f t="shared" si="24"/>
        <v>0</v>
      </c>
      <c r="W60" s="31" t="str">
        <f t="shared" si="12"/>
        <v>-FALSE</v>
      </c>
    </row>
    <row r="61" spans="4:23" x14ac:dyDescent="0.25">
      <c r="D61" s="82"/>
      <c r="E61" s="84"/>
      <c r="R61" s="31" t="str">
        <f>IF(ISERROR(VLOOKUP(A61,'Alignment - No Action Needed'!$A$6:$F$1733,5,FALSE)),"",VLOOKUP(A61,'Alignment - No Action Needed'!$A$6:$F$1733,5,FALSE))</f>
        <v/>
      </c>
      <c r="S61" s="31" t="str">
        <f t="shared" si="22"/>
        <v/>
      </c>
      <c r="T61" s="31" t="str">
        <f t="shared" si="9"/>
        <v>-</v>
      </c>
      <c r="U61" s="83">
        <f t="shared" si="23"/>
        <v>0</v>
      </c>
      <c r="V61" s="31" t="b">
        <f t="shared" si="24"/>
        <v>0</v>
      </c>
      <c r="W61" s="31" t="str">
        <f t="shared" si="12"/>
        <v>-FALSE</v>
      </c>
    </row>
    <row r="62" spans="4:23" x14ac:dyDescent="0.25">
      <c r="D62" s="82"/>
      <c r="E62" s="84"/>
      <c r="R62" s="31" t="str">
        <f>IF(ISERROR(VLOOKUP(A62,'Alignment - No Action Needed'!$A$6:$F$1733,5,FALSE)),"",VLOOKUP(A62,'Alignment - No Action Needed'!$A$6:$F$1733,5,FALSE))</f>
        <v/>
      </c>
      <c r="S62" s="31" t="str">
        <f t="shared" si="22"/>
        <v/>
      </c>
      <c r="T62" s="31" t="str">
        <f t="shared" si="9"/>
        <v>-</v>
      </c>
      <c r="U62" s="83">
        <f t="shared" si="23"/>
        <v>0</v>
      </c>
      <c r="V62" s="31" t="b">
        <f t="shared" si="24"/>
        <v>0</v>
      </c>
      <c r="W62" s="31" t="str">
        <f t="shared" si="12"/>
        <v>-FALSE</v>
      </c>
    </row>
    <row r="63" spans="4:23" x14ac:dyDescent="0.25">
      <c r="D63" s="82"/>
      <c r="E63" s="84"/>
      <c r="R63" s="31" t="str">
        <f>IF(ISERROR(VLOOKUP(A63,'Alignment - No Action Needed'!$A$6:$F$1733,5,FALSE)),"",VLOOKUP(A63,'Alignment - No Action Needed'!$A$6:$F$1733,5,FALSE))</f>
        <v/>
      </c>
      <c r="S63" s="31" t="str">
        <f t="shared" si="22"/>
        <v/>
      </c>
      <c r="T63" s="31" t="str">
        <f t="shared" si="9"/>
        <v>-</v>
      </c>
      <c r="U63" s="83">
        <f t="shared" si="23"/>
        <v>0</v>
      </c>
      <c r="V63" s="31" t="b">
        <f t="shared" si="24"/>
        <v>0</v>
      </c>
      <c r="W63" s="31" t="str">
        <f t="shared" si="12"/>
        <v>-FALSE</v>
      </c>
    </row>
    <row r="64" spans="4:23" x14ac:dyDescent="0.25">
      <c r="D64" s="82"/>
      <c r="E64" s="84"/>
      <c r="R64" s="31" t="str">
        <f>IF(ISERROR(VLOOKUP(A64,'Alignment - No Action Needed'!$A$6:$F$1733,5,FALSE)),"",VLOOKUP(A64,'Alignment - No Action Needed'!$A$6:$F$1733,5,FALSE))</f>
        <v/>
      </c>
      <c r="S64" s="31" t="str">
        <f t="shared" si="22"/>
        <v/>
      </c>
      <c r="T64" s="31" t="str">
        <f t="shared" si="9"/>
        <v>-</v>
      </c>
      <c r="U64" s="83">
        <f t="shared" si="23"/>
        <v>0</v>
      </c>
      <c r="V64" s="31" t="b">
        <f t="shared" si="24"/>
        <v>0</v>
      </c>
      <c r="W64" s="31" t="str">
        <f t="shared" si="12"/>
        <v>-FALSE</v>
      </c>
    </row>
    <row r="65" spans="4:23" x14ac:dyDescent="0.25">
      <c r="D65" s="82"/>
      <c r="E65" s="84"/>
      <c r="R65" s="31" t="str">
        <f>IF(ISERROR(VLOOKUP(A65,'Alignment - No Action Needed'!$A$6:$F$1733,5,FALSE)),"",VLOOKUP(A65,'Alignment - No Action Needed'!$A$6:$F$1733,5,FALSE))</f>
        <v/>
      </c>
      <c r="S65" s="31" t="str">
        <f t="shared" si="22"/>
        <v/>
      </c>
      <c r="T65" s="31" t="str">
        <f t="shared" si="9"/>
        <v>-</v>
      </c>
      <c r="U65" s="83">
        <f t="shared" si="23"/>
        <v>0</v>
      </c>
      <c r="V65" s="31" t="b">
        <f t="shared" si="24"/>
        <v>0</v>
      </c>
      <c r="W65" s="31" t="str">
        <f t="shared" si="12"/>
        <v>-FALSE</v>
      </c>
    </row>
    <row r="66" spans="4:23" x14ac:dyDescent="0.25">
      <c r="D66" s="82"/>
      <c r="E66" s="84"/>
      <c r="R66" s="31" t="str">
        <f>IF(ISERROR(VLOOKUP(A66,'Alignment - No Action Needed'!$A$6:$F$1733,5,FALSE)),"",VLOOKUP(A66,'Alignment - No Action Needed'!$A$6:$F$1733,5,FALSE))</f>
        <v/>
      </c>
      <c r="S66" s="31" t="str">
        <f t="shared" si="22"/>
        <v/>
      </c>
      <c r="T66" s="31" t="str">
        <f t="shared" si="9"/>
        <v>-</v>
      </c>
      <c r="U66" s="83">
        <f t="shared" si="23"/>
        <v>0</v>
      </c>
      <c r="V66" s="31" t="b">
        <f t="shared" si="24"/>
        <v>0</v>
      </c>
      <c r="W66" s="31" t="str">
        <f t="shared" si="12"/>
        <v>-FALSE</v>
      </c>
    </row>
    <row r="67" spans="4:23" x14ac:dyDescent="0.25">
      <c r="D67" s="82"/>
      <c r="E67" s="84"/>
      <c r="R67" s="31" t="str">
        <f>IF(ISERROR(VLOOKUP(A67,'Alignment - No Action Needed'!$A$6:$F$1733,5,FALSE)),"",VLOOKUP(A67,'Alignment - No Action Needed'!$A$6:$F$1733,5,FALSE))</f>
        <v/>
      </c>
      <c r="S67" s="31" t="str">
        <f t="shared" si="22"/>
        <v/>
      </c>
      <c r="T67" s="31" t="str">
        <f t="shared" si="9"/>
        <v>-</v>
      </c>
      <c r="U67" s="83">
        <f t="shared" si="23"/>
        <v>0</v>
      </c>
      <c r="V67" s="31" t="b">
        <f t="shared" si="24"/>
        <v>0</v>
      </c>
      <c r="W67" s="31" t="str">
        <f t="shared" si="12"/>
        <v>-FALSE</v>
      </c>
    </row>
    <row r="68" spans="4:23" x14ac:dyDescent="0.25">
      <c r="D68" s="82"/>
      <c r="E68" s="84"/>
      <c r="R68" s="31" t="str">
        <f>IF(ISERROR(VLOOKUP(A68,'Alignment - No Action Needed'!$A$6:$F$1733,5,FALSE)),"",VLOOKUP(A68,'Alignment - No Action Needed'!$A$6:$F$1733,5,FALSE))</f>
        <v/>
      </c>
      <c r="S68" s="31" t="str">
        <f t="shared" si="22"/>
        <v/>
      </c>
      <c r="T68" s="31" t="str">
        <f t="shared" si="9"/>
        <v>-</v>
      </c>
      <c r="U68" s="83">
        <f t="shared" si="23"/>
        <v>0</v>
      </c>
      <c r="V68" s="31" t="b">
        <f t="shared" si="24"/>
        <v>0</v>
      </c>
      <c r="W68" s="31" t="str">
        <f t="shared" si="12"/>
        <v>-FALSE</v>
      </c>
    </row>
    <row r="69" spans="4:23" x14ac:dyDescent="0.25">
      <c r="D69" s="82"/>
      <c r="E69" s="84"/>
      <c r="R69" s="31" t="str">
        <f>IF(ISERROR(VLOOKUP(A69,'Alignment - No Action Needed'!$A$6:$F$1733,5,FALSE)),"",VLOOKUP(A69,'Alignment - No Action Needed'!$A$6:$F$1733,5,FALSE))</f>
        <v/>
      </c>
      <c r="S69" s="31" t="str">
        <f t="shared" si="22"/>
        <v/>
      </c>
      <c r="T69" s="31" t="str">
        <f t="shared" si="9"/>
        <v>-</v>
      </c>
      <c r="U69" s="83">
        <f t="shared" si="23"/>
        <v>0</v>
      </c>
      <c r="V69" s="31" t="b">
        <f t="shared" si="24"/>
        <v>0</v>
      </c>
      <c r="W69" s="31" t="str">
        <f t="shared" si="12"/>
        <v>-FALSE</v>
      </c>
    </row>
    <row r="70" spans="4:23" x14ac:dyDescent="0.25">
      <c r="D70" s="82"/>
      <c r="E70" s="84"/>
      <c r="R70" s="31" t="str">
        <f>IF(ISERROR(VLOOKUP(A70,'Alignment - No Action Needed'!$A$6:$F$1733,5,FALSE)),"",VLOOKUP(A70,'Alignment - No Action Needed'!$A$6:$F$1733,5,FALSE))</f>
        <v/>
      </c>
      <c r="S70" s="31" t="str">
        <f t="shared" si="22"/>
        <v/>
      </c>
      <c r="T70" s="31" t="str">
        <f t="shared" si="9"/>
        <v>-</v>
      </c>
      <c r="U70" s="83">
        <f t="shared" si="23"/>
        <v>0</v>
      </c>
      <c r="V70" s="31" t="b">
        <f t="shared" si="24"/>
        <v>0</v>
      </c>
      <c r="W70" s="31" t="str">
        <f t="shared" si="12"/>
        <v>-FALSE</v>
      </c>
    </row>
    <row r="71" spans="4:23" x14ac:dyDescent="0.25">
      <c r="D71" s="82"/>
      <c r="E71" s="84"/>
      <c r="R71" s="31" t="str">
        <f>IF(ISERROR(VLOOKUP(A71,'Alignment - No Action Needed'!$A$6:$F$1733,5,FALSE)),"",VLOOKUP(A71,'Alignment - No Action Needed'!$A$6:$F$1733,5,FALSE))</f>
        <v/>
      </c>
      <c r="S71" s="31" t="str">
        <f t="shared" si="22"/>
        <v/>
      </c>
      <c r="T71" s="31" t="str">
        <f t="shared" ref="T71:T103" si="25">R71&amp;"-"&amp;S71</f>
        <v>-</v>
      </c>
      <c r="U71" s="83">
        <f t="shared" si="23"/>
        <v>0</v>
      </c>
      <c r="V71" s="31" t="b">
        <f t="shared" si="24"/>
        <v>0</v>
      </c>
      <c r="W71" s="31" t="str">
        <f t="shared" ref="W71:W103" si="26">R71&amp;"-"&amp;V71</f>
        <v>-FALSE</v>
      </c>
    </row>
    <row r="72" spans="4:23" x14ac:dyDescent="0.25">
      <c r="D72" s="82"/>
      <c r="E72" s="84"/>
      <c r="R72" s="31" t="str">
        <f>IF(ISERROR(VLOOKUP(A72,'Alignment - No Action Needed'!$A$6:$F$1733,5,FALSE)),"",VLOOKUP(A72,'Alignment - No Action Needed'!$A$6:$F$1733,5,FALSE))</f>
        <v/>
      </c>
      <c r="S72" s="31" t="str">
        <f t="shared" si="22"/>
        <v/>
      </c>
      <c r="T72" s="31" t="str">
        <f t="shared" si="25"/>
        <v>-</v>
      </c>
      <c r="U72" s="83">
        <f t="shared" si="23"/>
        <v>0</v>
      </c>
      <c r="V72" s="31" t="b">
        <f t="shared" si="24"/>
        <v>0</v>
      </c>
      <c r="W72" s="31" t="str">
        <f t="shared" si="26"/>
        <v>-FALSE</v>
      </c>
    </row>
    <row r="73" spans="4:23" x14ac:dyDescent="0.25">
      <c r="D73" s="82"/>
      <c r="E73" s="84"/>
      <c r="R73" s="31" t="str">
        <f>IF(ISERROR(VLOOKUP(A73,'Alignment - No Action Needed'!$A$6:$F$1733,5,FALSE)),"",VLOOKUP(A73,'Alignment - No Action Needed'!$A$6:$F$1733,5,FALSE))</f>
        <v/>
      </c>
      <c r="S73" s="31" t="str">
        <f t="shared" si="22"/>
        <v/>
      </c>
      <c r="T73" s="31" t="str">
        <f t="shared" si="25"/>
        <v>-</v>
      </c>
      <c r="U73" s="83">
        <f t="shared" si="23"/>
        <v>0</v>
      </c>
      <c r="V73" s="31" t="b">
        <f t="shared" si="24"/>
        <v>0</v>
      </c>
      <c r="W73" s="31" t="str">
        <f t="shared" si="26"/>
        <v>-FALSE</v>
      </c>
    </row>
    <row r="74" spans="4:23" x14ac:dyDescent="0.25">
      <c r="D74" s="82"/>
      <c r="E74" s="84"/>
      <c r="R74" s="31" t="str">
        <f>IF(ISERROR(VLOOKUP(A74,'Alignment - No Action Needed'!$A$6:$F$1733,5,FALSE)),"",VLOOKUP(A74,'Alignment - No Action Needed'!$A$6:$F$1733,5,FALSE))</f>
        <v/>
      </c>
      <c r="S74" s="31" t="str">
        <f t="shared" si="22"/>
        <v/>
      </c>
      <c r="T74" s="31" t="str">
        <f t="shared" si="25"/>
        <v>-</v>
      </c>
      <c r="U74" s="83">
        <f t="shared" si="23"/>
        <v>0</v>
      </c>
      <c r="V74" s="31" t="b">
        <f t="shared" si="24"/>
        <v>0</v>
      </c>
      <c r="W74" s="31" t="str">
        <f t="shared" si="26"/>
        <v>-FALSE</v>
      </c>
    </row>
    <row r="75" spans="4:23" x14ac:dyDescent="0.25">
      <c r="D75" s="82"/>
      <c r="E75" s="84"/>
      <c r="R75" s="31" t="str">
        <f>IF(ISERROR(VLOOKUP(A75,'Alignment - No Action Needed'!$A$6:$F$1733,5,FALSE)),"",VLOOKUP(A75,'Alignment - No Action Needed'!$A$6:$F$1733,5,FALSE))</f>
        <v/>
      </c>
      <c r="S75" s="31" t="str">
        <f t="shared" si="22"/>
        <v/>
      </c>
      <c r="T75" s="31" t="str">
        <f t="shared" si="25"/>
        <v>-</v>
      </c>
      <c r="U75" s="83">
        <f t="shared" si="23"/>
        <v>0</v>
      </c>
      <c r="V75" s="31" t="b">
        <f t="shared" si="24"/>
        <v>0</v>
      </c>
      <c r="W75" s="31" t="str">
        <f t="shared" si="26"/>
        <v>-FALSE</v>
      </c>
    </row>
    <row r="76" spans="4:23" x14ac:dyDescent="0.25">
      <c r="D76" s="82"/>
      <c r="E76" s="84"/>
      <c r="R76" s="31" t="str">
        <f>IF(ISERROR(VLOOKUP(A76,'Alignment - No Action Needed'!$A$6:$F$1733,5,FALSE)),"",VLOOKUP(A76,'Alignment - No Action Needed'!$A$6:$F$1733,5,FALSE))</f>
        <v/>
      </c>
      <c r="S76" s="31" t="str">
        <f t="shared" si="22"/>
        <v/>
      </c>
      <c r="T76" s="31" t="str">
        <f t="shared" si="25"/>
        <v>-</v>
      </c>
      <c r="U76" s="83">
        <f t="shared" si="23"/>
        <v>0</v>
      </c>
      <c r="V76" s="31" t="b">
        <f t="shared" si="24"/>
        <v>0</v>
      </c>
      <c r="W76" s="31" t="str">
        <f t="shared" si="26"/>
        <v>-FALSE</v>
      </c>
    </row>
    <row r="77" spans="4:23" x14ac:dyDescent="0.25">
      <c r="D77" s="82"/>
      <c r="E77" s="84"/>
      <c r="R77" s="31" t="str">
        <f>IF(ISERROR(VLOOKUP(A77,'Alignment - No Action Needed'!$A$6:$F$1733,5,FALSE)),"",VLOOKUP(A77,'Alignment - No Action Needed'!$A$6:$F$1733,5,FALSE))</f>
        <v/>
      </c>
      <c r="S77" s="31" t="str">
        <f t="shared" si="22"/>
        <v/>
      </c>
      <c r="T77" s="31" t="str">
        <f t="shared" si="25"/>
        <v>-</v>
      </c>
      <c r="U77" s="83">
        <f t="shared" si="23"/>
        <v>0</v>
      </c>
      <c r="V77" s="31" t="b">
        <f t="shared" si="24"/>
        <v>0</v>
      </c>
      <c r="W77" s="31" t="str">
        <f t="shared" si="26"/>
        <v>-FALSE</v>
      </c>
    </row>
    <row r="78" spans="4:23" x14ac:dyDescent="0.25">
      <c r="D78" s="82"/>
      <c r="E78" s="84"/>
      <c r="R78" s="31" t="str">
        <f>IF(ISERROR(VLOOKUP(A78,'Alignment - No Action Needed'!$A$6:$F$1733,5,FALSE)),"",VLOOKUP(A78,'Alignment - No Action Needed'!$A$6:$F$1733,5,FALSE))</f>
        <v/>
      </c>
      <c r="S78" s="31" t="str">
        <f t="shared" si="22"/>
        <v/>
      </c>
      <c r="T78" s="31" t="str">
        <f t="shared" si="25"/>
        <v>-</v>
      </c>
      <c r="U78" s="83">
        <f t="shared" si="23"/>
        <v>0</v>
      </c>
      <c r="V78" s="31" t="b">
        <f t="shared" si="24"/>
        <v>0</v>
      </c>
      <c r="W78" s="31" t="str">
        <f t="shared" si="26"/>
        <v>-FALSE</v>
      </c>
    </row>
    <row r="79" spans="4:23" x14ac:dyDescent="0.25">
      <c r="D79" s="82"/>
      <c r="E79" s="84"/>
      <c r="R79" s="31" t="str">
        <f>IF(ISERROR(VLOOKUP(A79,'Alignment - No Action Needed'!$A$6:$F$1733,5,FALSE)),"",VLOOKUP(A79,'Alignment - No Action Needed'!$A$6:$F$1733,5,FALSE))</f>
        <v/>
      </c>
      <c r="S79" s="31" t="str">
        <f t="shared" si="22"/>
        <v/>
      </c>
      <c r="T79" s="31" t="str">
        <f t="shared" si="25"/>
        <v>-</v>
      </c>
      <c r="U79" s="83">
        <f t="shared" si="23"/>
        <v>0</v>
      </c>
      <c r="V79" s="31" t="b">
        <f t="shared" si="24"/>
        <v>0</v>
      </c>
      <c r="W79" s="31" t="str">
        <f t="shared" si="26"/>
        <v>-FALSE</v>
      </c>
    </row>
    <row r="80" spans="4:23" x14ac:dyDescent="0.25">
      <c r="D80" s="82"/>
      <c r="E80" s="84"/>
      <c r="R80" s="31" t="str">
        <f>IF(ISERROR(VLOOKUP(A80,'Alignment - No Action Needed'!$A$6:$F$1733,5,FALSE)),"",VLOOKUP(A80,'Alignment - No Action Needed'!$A$6:$F$1733,5,FALSE))</f>
        <v/>
      </c>
      <c r="S80" s="31" t="str">
        <f t="shared" si="22"/>
        <v/>
      </c>
      <c r="T80" s="31" t="str">
        <f t="shared" si="25"/>
        <v>-</v>
      </c>
      <c r="U80" s="83">
        <f t="shared" si="23"/>
        <v>0</v>
      </c>
      <c r="V80" s="31" t="b">
        <f t="shared" si="24"/>
        <v>0</v>
      </c>
      <c r="W80" s="31" t="str">
        <f t="shared" si="26"/>
        <v>-FALSE</v>
      </c>
    </row>
    <row r="81" spans="4:23" x14ac:dyDescent="0.25">
      <c r="D81" s="82"/>
      <c r="E81" s="84"/>
      <c r="R81" s="31" t="str">
        <f>IF(ISERROR(VLOOKUP(A81,'Alignment - No Action Needed'!$A$6:$F$1733,5,FALSE)),"",VLOOKUP(A81,'Alignment - No Action Needed'!$A$6:$F$1733,5,FALSE))</f>
        <v/>
      </c>
      <c r="S81" s="31" t="str">
        <f t="shared" si="22"/>
        <v/>
      </c>
      <c r="T81" s="31" t="str">
        <f t="shared" si="25"/>
        <v>-</v>
      </c>
      <c r="U81" s="83">
        <f t="shared" si="23"/>
        <v>0</v>
      </c>
      <c r="V81" s="31" t="b">
        <f t="shared" si="24"/>
        <v>0</v>
      </c>
      <c r="W81" s="31" t="str">
        <f t="shared" si="26"/>
        <v>-FALSE</v>
      </c>
    </row>
    <row r="82" spans="4:23" x14ac:dyDescent="0.25">
      <c r="D82" s="82"/>
      <c r="E82" s="84"/>
      <c r="R82" s="31" t="str">
        <f>IF(ISERROR(VLOOKUP(A82,'Alignment - No Action Needed'!$A$6:$F$1733,5,FALSE)),"",VLOOKUP(A82,'Alignment - No Action Needed'!$A$6:$F$1733,5,FALSE))</f>
        <v/>
      </c>
      <c r="S82" s="31" t="str">
        <f t="shared" si="22"/>
        <v/>
      </c>
      <c r="T82" s="31" t="str">
        <f t="shared" si="25"/>
        <v>-</v>
      </c>
      <c r="U82" s="83">
        <f t="shared" si="23"/>
        <v>0</v>
      </c>
      <c r="V82" s="31" t="b">
        <f t="shared" si="24"/>
        <v>0</v>
      </c>
      <c r="W82" s="31" t="str">
        <f t="shared" si="26"/>
        <v>-FALSE</v>
      </c>
    </row>
    <row r="83" spans="4:23" x14ac:dyDescent="0.25">
      <c r="D83" s="82"/>
      <c r="E83" s="84"/>
      <c r="R83" s="31" t="str">
        <f>IF(ISERROR(VLOOKUP(A83,'Alignment - No Action Needed'!$A$6:$F$1733,5,FALSE)),"",VLOOKUP(A83,'Alignment - No Action Needed'!$A$6:$F$1733,5,FALSE))</f>
        <v/>
      </c>
      <c r="S83" s="31" t="str">
        <f t="shared" si="22"/>
        <v/>
      </c>
      <c r="T83" s="31" t="str">
        <f t="shared" si="25"/>
        <v>-</v>
      </c>
      <c r="U83" s="83">
        <f t="shared" si="23"/>
        <v>0</v>
      </c>
      <c r="V83" s="31" t="b">
        <f t="shared" si="24"/>
        <v>0</v>
      </c>
      <c r="W83" s="31" t="str">
        <f t="shared" si="26"/>
        <v>-FALSE</v>
      </c>
    </row>
    <row r="84" spans="4:23" x14ac:dyDescent="0.25">
      <c r="D84" s="82"/>
      <c r="E84" s="84"/>
      <c r="R84" s="31" t="str">
        <f>IF(ISERROR(VLOOKUP(A84,'Alignment - No Action Needed'!$A$6:$F$1733,5,FALSE)),"",VLOOKUP(A84,'Alignment - No Action Needed'!$A$6:$F$1733,5,FALSE))</f>
        <v/>
      </c>
      <c r="S84" s="31" t="str">
        <f t="shared" ref="S84:S103" si="27">LEFT(B84,2)</f>
        <v/>
      </c>
      <c r="T84" s="31" t="str">
        <f t="shared" si="25"/>
        <v>-</v>
      </c>
      <c r="U84" s="83">
        <f t="shared" ref="U84:U103" si="28">D84</f>
        <v>0</v>
      </c>
      <c r="V84" s="31" t="b">
        <f t="shared" ref="V84:V103" si="29">ISNUMBER(SEARCH($V$2,E84))</f>
        <v>0</v>
      </c>
      <c r="W84" s="31" t="str">
        <f t="shared" si="26"/>
        <v>-FALSE</v>
      </c>
    </row>
    <row r="85" spans="4:23" x14ac:dyDescent="0.25">
      <c r="D85" s="82"/>
      <c r="E85" s="84"/>
      <c r="R85" s="31" t="str">
        <f>IF(ISERROR(VLOOKUP(A85,'Alignment - No Action Needed'!$A$6:$F$1733,5,FALSE)),"",VLOOKUP(A85,'Alignment - No Action Needed'!$A$6:$F$1733,5,FALSE))</f>
        <v/>
      </c>
      <c r="S85" s="31" t="str">
        <f t="shared" si="27"/>
        <v/>
      </c>
      <c r="T85" s="31" t="str">
        <f t="shared" si="25"/>
        <v>-</v>
      </c>
      <c r="U85" s="83">
        <f t="shared" si="28"/>
        <v>0</v>
      </c>
      <c r="V85" s="31" t="b">
        <f t="shared" si="29"/>
        <v>0</v>
      </c>
      <c r="W85" s="31" t="str">
        <f t="shared" si="26"/>
        <v>-FALSE</v>
      </c>
    </row>
    <row r="86" spans="4:23" x14ac:dyDescent="0.25">
      <c r="D86" s="82"/>
      <c r="E86" s="84"/>
      <c r="R86" s="31" t="str">
        <f>IF(ISERROR(VLOOKUP(A86,'Alignment - No Action Needed'!$A$6:$F$1733,5,FALSE)),"",VLOOKUP(A86,'Alignment - No Action Needed'!$A$6:$F$1733,5,FALSE))</f>
        <v/>
      </c>
      <c r="S86" s="31" t="str">
        <f t="shared" si="27"/>
        <v/>
      </c>
      <c r="T86" s="31" t="str">
        <f t="shared" si="25"/>
        <v>-</v>
      </c>
      <c r="U86" s="83">
        <f t="shared" si="28"/>
        <v>0</v>
      </c>
      <c r="V86" s="31" t="b">
        <f t="shared" si="29"/>
        <v>0</v>
      </c>
      <c r="W86" s="31" t="str">
        <f t="shared" si="26"/>
        <v>-FALSE</v>
      </c>
    </row>
    <row r="87" spans="4:23" x14ac:dyDescent="0.25">
      <c r="D87" s="82"/>
      <c r="E87" s="84"/>
      <c r="R87" s="31" t="str">
        <f>IF(ISERROR(VLOOKUP(A87,'Alignment - No Action Needed'!$A$6:$F$1733,5,FALSE)),"",VLOOKUP(A87,'Alignment - No Action Needed'!$A$6:$F$1733,5,FALSE))</f>
        <v/>
      </c>
      <c r="S87" s="31" t="str">
        <f t="shared" si="27"/>
        <v/>
      </c>
      <c r="T87" s="31" t="str">
        <f t="shared" si="25"/>
        <v>-</v>
      </c>
      <c r="U87" s="83">
        <f t="shared" si="28"/>
        <v>0</v>
      </c>
      <c r="V87" s="31" t="b">
        <f t="shared" si="29"/>
        <v>0</v>
      </c>
      <c r="W87" s="31" t="str">
        <f t="shared" si="26"/>
        <v>-FALSE</v>
      </c>
    </row>
    <row r="88" spans="4:23" x14ac:dyDescent="0.25">
      <c r="D88" s="82"/>
      <c r="E88" s="84"/>
      <c r="R88" s="31" t="str">
        <f>IF(ISERROR(VLOOKUP(A88,'Alignment - No Action Needed'!$A$6:$F$1733,5,FALSE)),"",VLOOKUP(A88,'Alignment - No Action Needed'!$A$6:$F$1733,5,FALSE))</f>
        <v/>
      </c>
      <c r="S88" s="31" t="str">
        <f t="shared" si="27"/>
        <v/>
      </c>
      <c r="T88" s="31" t="str">
        <f t="shared" si="25"/>
        <v>-</v>
      </c>
      <c r="U88" s="83">
        <f t="shared" si="28"/>
        <v>0</v>
      </c>
      <c r="V88" s="31" t="b">
        <f t="shared" si="29"/>
        <v>0</v>
      </c>
      <c r="W88" s="31" t="str">
        <f t="shared" si="26"/>
        <v>-FALSE</v>
      </c>
    </row>
    <row r="89" spans="4:23" x14ac:dyDescent="0.25">
      <c r="D89" s="82"/>
      <c r="E89" s="84"/>
      <c r="R89" s="31" t="str">
        <f>IF(ISERROR(VLOOKUP(A89,'Alignment - No Action Needed'!$A$6:$F$1733,5,FALSE)),"",VLOOKUP(A89,'Alignment - No Action Needed'!$A$6:$F$1733,5,FALSE))</f>
        <v/>
      </c>
      <c r="S89" s="31" t="str">
        <f t="shared" si="27"/>
        <v/>
      </c>
      <c r="T89" s="31" t="str">
        <f t="shared" si="25"/>
        <v>-</v>
      </c>
      <c r="U89" s="83">
        <f t="shared" si="28"/>
        <v>0</v>
      </c>
      <c r="V89" s="31" t="b">
        <f t="shared" si="29"/>
        <v>0</v>
      </c>
      <c r="W89" s="31" t="str">
        <f t="shared" si="26"/>
        <v>-FALSE</v>
      </c>
    </row>
    <row r="90" spans="4:23" x14ac:dyDescent="0.25">
      <c r="D90" s="82"/>
      <c r="E90" s="84"/>
      <c r="R90" s="31" t="str">
        <f>IF(ISERROR(VLOOKUP(A90,'Alignment - No Action Needed'!$A$6:$F$1733,5,FALSE)),"",VLOOKUP(A90,'Alignment - No Action Needed'!$A$6:$F$1733,5,FALSE))</f>
        <v/>
      </c>
      <c r="S90" s="31" t="str">
        <f t="shared" si="27"/>
        <v/>
      </c>
      <c r="T90" s="31" t="str">
        <f t="shared" si="25"/>
        <v>-</v>
      </c>
      <c r="U90" s="83">
        <f t="shared" si="28"/>
        <v>0</v>
      </c>
      <c r="V90" s="31" t="b">
        <f t="shared" si="29"/>
        <v>0</v>
      </c>
      <c r="W90" s="31" t="str">
        <f t="shared" si="26"/>
        <v>-FALSE</v>
      </c>
    </row>
    <row r="91" spans="4:23" x14ac:dyDescent="0.25">
      <c r="D91" s="82"/>
      <c r="E91" s="84"/>
      <c r="R91" s="31" t="str">
        <f>IF(ISERROR(VLOOKUP(A91,'Alignment - No Action Needed'!$A$6:$F$1733,5,FALSE)),"",VLOOKUP(A91,'Alignment - No Action Needed'!$A$6:$F$1733,5,FALSE))</f>
        <v/>
      </c>
      <c r="S91" s="31" t="str">
        <f t="shared" si="27"/>
        <v/>
      </c>
      <c r="T91" s="31" t="str">
        <f t="shared" si="25"/>
        <v>-</v>
      </c>
      <c r="U91" s="83">
        <f t="shared" si="28"/>
        <v>0</v>
      </c>
      <c r="V91" s="31" t="b">
        <f t="shared" si="29"/>
        <v>0</v>
      </c>
      <c r="W91" s="31" t="str">
        <f t="shared" si="26"/>
        <v>-FALSE</v>
      </c>
    </row>
    <row r="92" spans="4:23" x14ac:dyDescent="0.25">
      <c r="D92" s="82"/>
      <c r="E92" s="84"/>
      <c r="R92" s="31" t="str">
        <f>IF(ISERROR(VLOOKUP(A92,'Alignment - No Action Needed'!$A$6:$F$1733,5,FALSE)),"",VLOOKUP(A92,'Alignment - No Action Needed'!$A$6:$F$1733,5,FALSE))</f>
        <v/>
      </c>
      <c r="S92" s="31" t="str">
        <f t="shared" si="27"/>
        <v/>
      </c>
      <c r="T92" s="31" t="str">
        <f t="shared" si="25"/>
        <v>-</v>
      </c>
      <c r="U92" s="83">
        <f t="shared" si="28"/>
        <v>0</v>
      </c>
      <c r="V92" s="31" t="b">
        <f t="shared" si="29"/>
        <v>0</v>
      </c>
      <c r="W92" s="31" t="str">
        <f t="shared" si="26"/>
        <v>-FALSE</v>
      </c>
    </row>
    <row r="93" spans="4:23" x14ac:dyDescent="0.25">
      <c r="D93" s="82"/>
      <c r="E93" s="84"/>
      <c r="R93" s="31" t="str">
        <f>IF(ISERROR(VLOOKUP(A93,'Alignment - No Action Needed'!$A$6:$F$1733,5,FALSE)),"",VLOOKUP(A93,'Alignment - No Action Needed'!$A$6:$F$1733,5,FALSE))</f>
        <v/>
      </c>
      <c r="S93" s="31" t="str">
        <f t="shared" si="27"/>
        <v/>
      </c>
      <c r="T93" s="31" t="str">
        <f t="shared" si="25"/>
        <v>-</v>
      </c>
      <c r="U93" s="83">
        <f t="shared" si="28"/>
        <v>0</v>
      </c>
      <c r="V93" s="31" t="b">
        <f t="shared" si="29"/>
        <v>0</v>
      </c>
      <c r="W93" s="31" t="str">
        <f t="shared" si="26"/>
        <v>-FALSE</v>
      </c>
    </row>
    <row r="94" spans="4:23" x14ac:dyDescent="0.25">
      <c r="D94" s="82"/>
      <c r="E94" s="84"/>
      <c r="R94" s="31" t="str">
        <f>IF(ISERROR(VLOOKUP(A94,'Alignment - No Action Needed'!$A$6:$F$1733,5,FALSE)),"",VLOOKUP(A94,'Alignment - No Action Needed'!$A$6:$F$1733,5,FALSE))</f>
        <v/>
      </c>
      <c r="S94" s="31" t="str">
        <f t="shared" si="27"/>
        <v/>
      </c>
      <c r="T94" s="31" t="str">
        <f t="shared" si="25"/>
        <v>-</v>
      </c>
      <c r="U94" s="83">
        <f t="shared" si="28"/>
        <v>0</v>
      </c>
      <c r="V94" s="31" t="b">
        <f t="shared" si="29"/>
        <v>0</v>
      </c>
      <c r="W94" s="31" t="str">
        <f t="shared" si="26"/>
        <v>-FALSE</v>
      </c>
    </row>
    <row r="95" spans="4:23" x14ac:dyDescent="0.25">
      <c r="D95" s="82"/>
      <c r="E95" s="84"/>
      <c r="R95" s="31" t="str">
        <f>IF(ISERROR(VLOOKUP(A95,'Alignment - No Action Needed'!$A$6:$F$1733,5,FALSE)),"",VLOOKUP(A95,'Alignment - No Action Needed'!$A$6:$F$1733,5,FALSE))</f>
        <v/>
      </c>
      <c r="S95" s="31" t="str">
        <f t="shared" si="27"/>
        <v/>
      </c>
      <c r="T95" s="31" t="str">
        <f t="shared" si="25"/>
        <v>-</v>
      </c>
      <c r="U95" s="83">
        <f t="shared" si="28"/>
        <v>0</v>
      </c>
      <c r="V95" s="31" t="b">
        <f t="shared" si="29"/>
        <v>0</v>
      </c>
      <c r="W95" s="31" t="str">
        <f t="shared" si="26"/>
        <v>-FALSE</v>
      </c>
    </row>
    <row r="96" spans="4:23" x14ac:dyDescent="0.25">
      <c r="D96" s="82"/>
      <c r="E96" s="84"/>
      <c r="R96" s="31" t="str">
        <f>IF(ISERROR(VLOOKUP(A96,'Alignment - No Action Needed'!$A$6:$F$1733,5,FALSE)),"",VLOOKUP(A96,'Alignment - No Action Needed'!$A$6:$F$1733,5,FALSE))</f>
        <v/>
      </c>
      <c r="S96" s="31" t="str">
        <f t="shared" si="27"/>
        <v/>
      </c>
      <c r="T96" s="31" t="str">
        <f t="shared" si="25"/>
        <v>-</v>
      </c>
      <c r="U96" s="83">
        <f t="shared" si="28"/>
        <v>0</v>
      </c>
      <c r="V96" s="31" t="b">
        <f t="shared" si="29"/>
        <v>0</v>
      </c>
      <c r="W96" s="31" t="str">
        <f t="shared" si="26"/>
        <v>-FALSE</v>
      </c>
    </row>
    <row r="97" spans="4:23" x14ac:dyDescent="0.25">
      <c r="D97" s="82"/>
      <c r="E97" s="84"/>
      <c r="R97" s="31" t="str">
        <f>IF(ISERROR(VLOOKUP(A97,'Alignment - No Action Needed'!$A$6:$F$1733,5,FALSE)),"",VLOOKUP(A97,'Alignment - No Action Needed'!$A$6:$F$1733,5,FALSE))</f>
        <v/>
      </c>
      <c r="S97" s="31" t="str">
        <f t="shared" si="27"/>
        <v/>
      </c>
      <c r="T97" s="31" t="str">
        <f t="shared" si="25"/>
        <v>-</v>
      </c>
      <c r="U97" s="83">
        <f t="shared" si="28"/>
        <v>0</v>
      </c>
      <c r="V97" s="31" t="b">
        <f t="shared" si="29"/>
        <v>0</v>
      </c>
      <c r="W97" s="31" t="str">
        <f t="shared" si="26"/>
        <v>-FALSE</v>
      </c>
    </row>
    <row r="98" spans="4:23" x14ac:dyDescent="0.25">
      <c r="D98" s="82"/>
      <c r="E98" s="84"/>
      <c r="R98" s="31" t="str">
        <f>IF(ISERROR(VLOOKUP(A98,'Alignment - No Action Needed'!$A$6:$F$1733,5,FALSE)),"",VLOOKUP(A98,'Alignment - No Action Needed'!$A$6:$F$1733,5,FALSE))</f>
        <v/>
      </c>
      <c r="S98" s="31" t="str">
        <f t="shared" si="27"/>
        <v/>
      </c>
      <c r="T98" s="31" t="str">
        <f t="shared" si="25"/>
        <v>-</v>
      </c>
      <c r="U98" s="83">
        <f t="shared" si="28"/>
        <v>0</v>
      </c>
      <c r="V98" s="31" t="b">
        <f t="shared" si="29"/>
        <v>0</v>
      </c>
      <c r="W98" s="31" t="str">
        <f t="shared" si="26"/>
        <v>-FALSE</v>
      </c>
    </row>
    <row r="99" spans="4:23" x14ac:dyDescent="0.25">
      <c r="D99" s="82"/>
      <c r="E99" s="84"/>
      <c r="R99" s="31" t="str">
        <f>IF(ISERROR(VLOOKUP(A99,'Alignment - No Action Needed'!$A$6:$F$1733,5,FALSE)),"",VLOOKUP(A99,'Alignment - No Action Needed'!$A$6:$F$1733,5,FALSE))</f>
        <v/>
      </c>
      <c r="S99" s="31" t="str">
        <f t="shared" si="27"/>
        <v/>
      </c>
      <c r="T99" s="31" t="str">
        <f t="shared" si="25"/>
        <v>-</v>
      </c>
      <c r="U99" s="83">
        <f t="shared" si="28"/>
        <v>0</v>
      </c>
      <c r="V99" s="31" t="b">
        <f t="shared" si="29"/>
        <v>0</v>
      </c>
      <c r="W99" s="31" t="str">
        <f t="shared" si="26"/>
        <v>-FALSE</v>
      </c>
    </row>
    <row r="100" spans="4:23" x14ac:dyDescent="0.25">
      <c r="D100" s="82"/>
      <c r="E100" s="84"/>
      <c r="R100" s="31" t="str">
        <f>IF(ISERROR(VLOOKUP(A100,'Alignment - No Action Needed'!$A$6:$F$1733,5,FALSE)),"",VLOOKUP(A100,'Alignment - No Action Needed'!$A$6:$F$1733,5,FALSE))</f>
        <v/>
      </c>
      <c r="S100" s="31" t="str">
        <f t="shared" si="27"/>
        <v/>
      </c>
      <c r="T100" s="31" t="str">
        <f t="shared" si="25"/>
        <v>-</v>
      </c>
      <c r="U100" s="83">
        <f t="shared" si="28"/>
        <v>0</v>
      </c>
      <c r="V100" s="31" t="b">
        <f t="shared" si="29"/>
        <v>0</v>
      </c>
      <c r="W100" s="31" t="str">
        <f t="shared" si="26"/>
        <v>-FALSE</v>
      </c>
    </row>
    <row r="101" spans="4:23" x14ac:dyDescent="0.25">
      <c r="D101" s="82"/>
      <c r="E101" s="84"/>
      <c r="R101" s="31" t="str">
        <f>IF(ISERROR(VLOOKUP(A101,'Alignment - No Action Needed'!$A$6:$F$1733,5,FALSE)),"",VLOOKUP(A101,'Alignment - No Action Needed'!$A$6:$F$1733,5,FALSE))</f>
        <v/>
      </c>
      <c r="S101" s="31" t="str">
        <f t="shared" si="27"/>
        <v/>
      </c>
      <c r="T101" s="31" t="str">
        <f t="shared" si="25"/>
        <v>-</v>
      </c>
      <c r="U101" s="83">
        <f t="shared" si="28"/>
        <v>0</v>
      </c>
      <c r="V101" s="31" t="b">
        <f t="shared" si="29"/>
        <v>0</v>
      </c>
      <c r="W101" s="31" t="str">
        <f t="shared" si="26"/>
        <v>-FALSE</v>
      </c>
    </row>
    <row r="102" spans="4:23" x14ac:dyDescent="0.25">
      <c r="D102" s="82"/>
      <c r="E102" s="84"/>
      <c r="R102" s="31" t="str">
        <f>IF(ISERROR(VLOOKUP(A102,'Alignment - No Action Needed'!$A$6:$F$1733,5,FALSE)),"",VLOOKUP(A102,'Alignment - No Action Needed'!$A$6:$F$1733,5,FALSE))</f>
        <v/>
      </c>
      <c r="S102" s="31" t="str">
        <f t="shared" si="27"/>
        <v/>
      </c>
      <c r="T102" s="31" t="str">
        <f t="shared" si="25"/>
        <v>-</v>
      </c>
      <c r="U102" s="83">
        <f t="shared" si="28"/>
        <v>0</v>
      </c>
      <c r="V102" s="31" t="b">
        <f t="shared" si="29"/>
        <v>0</v>
      </c>
      <c r="W102" s="31" t="str">
        <f t="shared" si="26"/>
        <v>-FALSE</v>
      </c>
    </row>
    <row r="103" spans="4:23" x14ac:dyDescent="0.25">
      <c r="D103" s="82"/>
      <c r="E103" s="84"/>
      <c r="R103" s="31" t="str">
        <f>IF(ISERROR(VLOOKUP(A103,'Alignment - No Action Needed'!$A$6:$F$1733,5,FALSE)),"",VLOOKUP(A103,'Alignment - No Action Needed'!$A$6:$F$1733,5,FALSE))</f>
        <v/>
      </c>
      <c r="S103" s="31" t="str">
        <f t="shared" si="27"/>
        <v/>
      </c>
      <c r="T103" s="31" t="str">
        <f t="shared" si="25"/>
        <v>-</v>
      </c>
      <c r="U103" s="83">
        <f t="shared" si="28"/>
        <v>0</v>
      </c>
      <c r="V103" s="31" t="b">
        <f t="shared" si="29"/>
        <v>0</v>
      </c>
      <c r="W103" s="31" t="str">
        <f t="shared" si="26"/>
        <v>-FALSE</v>
      </c>
    </row>
    <row r="104" spans="4:23" x14ac:dyDescent="0.25">
      <c r="D104" s="82"/>
    </row>
  </sheetData>
  <sortState ref="A6:E31">
    <sortCondition ref="A6:A31"/>
  </sortState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X758"/>
  <sheetViews>
    <sheetView workbookViewId="0">
      <pane xSplit="6" ySplit="5" topLeftCell="G126" activePane="bottomRight" state="frozen"/>
      <selection pane="topRight" activeCell="G1" sqref="G1"/>
      <selection pane="bottomLeft" activeCell="A6" sqref="A6"/>
      <selection pane="bottomRight" activeCell="D131" sqref="D131"/>
    </sheetView>
  </sheetViews>
  <sheetFormatPr defaultRowHeight="15" x14ac:dyDescent="0.25"/>
  <cols>
    <col min="1" max="1" width="7.140625" bestFit="1" customWidth="1"/>
    <col min="2" max="2" width="25.7109375" bestFit="1" customWidth="1"/>
    <col min="3" max="3" width="7.28515625" bestFit="1" customWidth="1"/>
    <col min="4" max="4" width="5.5703125" bestFit="1" customWidth="1"/>
    <col min="5" max="5" width="11.7109375" bestFit="1" customWidth="1"/>
    <col min="6" max="6" width="18.7109375" bestFit="1" customWidth="1"/>
    <col min="7" max="7" width="11.140625" customWidth="1"/>
    <col min="8" max="8" width="10" customWidth="1"/>
  </cols>
  <sheetData>
    <row r="2" spans="1:24" x14ac:dyDescent="0.25">
      <c r="A2" s="69" t="s">
        <v>910</v>
      </c>
      <c r="B2" s="69"/>
      <c r="G2" s="31"/>
      <c r="H2" s="31"/>
      <c r="I2" s="31"/>
    </row>
    <row r="4" spans="1:24" x14ac:dyDescent="0.25">
      <c r="G4" s="139" t="s">
        <v>871</v>
      </c>
      <c r="H4" s="139" t="s">
        <v>870</v>
      </c>
      <c r="I4" s="139" t="s">
        <v>877</v>
      </c>
      <c r="J4" s="78"/>
    </row>
    <row r="5" spans="1:24" ht="30" x14ac:dyDescent="0.25">
      <c r="A5" s="81" t="s">
        <v>64</v>
      </c>
      <c r="B5" s="81" t="s">
        <v>153</v>
      </c>
      <c r="C5" s="81" t="s">
        <v>154</v>
      </c>
      <c r="D5" s="81" t="s">
        <v>155</v>
      </c>
      <c r="E5" s="81" t="s">
        <v>5</v>
      </c>
      <c r="F5" s="81" t="s">
        <v>142</v>
      </c>
      <c r="G5" s="81" t="s">
        <v>865</v>
      </c>
      <c r="H5" s="81" t="s">
        <v>868</v>
      </c>
      <c r="I5" s="81" t="s">
        <v>869</v>
      </c>
      <c r="J5" s="81"/>
      <c r="K5" s="81"/>
      <c r="L5" s="81"/>
      <c r="M5" s="81"/>
      <c r="N5" s="81"/>
      <c r="O5" s="81"/>
      <c r="P5" s="81"/>
      <c r="Q5" s="81"/>
      <c r="R5" s="81"/>
      <c r="S5" s="81"/>
      <c r="T5" s="81"/>
      <c r="U5" s="81"/>
      <c r="V5" s="81"/>
      <c r="W5" s="81"/>
      <c r="X5" s="81"/>
    </row>
    <row r="6" spans="1:24" x14ac:dyDescent="0.25">
      <c r="A6">
        <v>5500</v>
      </c>
      <c r="B6" t="s">
        <v>156</v>
      </c>
      <c r="C6" t="s">
        <v>137</v>
      </c>
      <c r="D6" t="s">
        <v>137</v>
      </c>
      <c r="E6" t="s">
        <v>137</v>
      </c>
      <c r="F6" t="s">
        <v>137</v>
      </c>
      <c r="G6" s="78" t="s">
        <v>874</v>
      </c>
      <c r="H6" s="140">
        <v>-4.0000000000000001E-3</v>
      </c>
      <c r="I6" s="140">
        <v>-7.4999999999999997E-3</v>
      </c>
    </row>
    <row r="7" spans="1:24" x14ac:dyDescent="0.25">
      <c r="A7">
        <v>5501</v>
      </c>
      <c r="B7" t="s">
        <v>157</v>
      </c>
      <c r="C7" t="s">
        <v>137</v>
      </c>
      <c r="D7" t="s">
        <v>137</v>
      </c>
      <c r="E7" t="s">
        <v>137</v>
      </c>
      <c r="F7" t="s">
        <v>137</v>
      </c>
      <c r="G7" s="78" t="s">
        <v>874</v>
      </c>
      <c r="H7" s="140" t="s">
        <v>876</v>
      </c>
      <c r="I7" s="140">
        <v>-7.4999999999999997E-3</v>
      </c>
    </row>
    <row r="8" spans="1:24" x14ac:dyDescent="0.25">
      <c r="A8">
        <v>5502</v>
      </c>
      <c r="B8" t="s">
        <v>158</v>
      </c>
      <c r="C8" t="s">
        <v>137</v>
      </c>
      <c r="D8" t="s">
        <v>137</v>
      </c>
      <c r="E8" t="s">
        <v>137</v>
      </c>
      <c r="F8" t="s">
        <v>137</v>
      </c>
      <c r="G8" s="78" t="s">
        <v>874</v>
      </c>
      <c r="H8" s="140" t="s">
        <v>876</v>
      </c>
      <c r="I8" s="140">
        <v>-7.4999999999999997E-3</v>
      </c>
    </row>
    <row r="9" spans="1:24" x14ac:dyDescent="0.25">
      <c r="A9">
        <v>5503</v>
      </c>
      <c r="B9" t="s">
        <v>159</v>
      </c>
      <c r="C9" t="s">
        <v>137</v>
      </c>
      <c r="D9" t="s">
        <v>137</v>
      </c>
      <c r="E9" t="s">
        <v>137</v>
      </c>
      <c r="F9" t="s">
        <v>137</v>
      </c>
      <c r="G9" s="78" t="s">
        <v>874</v>
      </c>
      <c r="H9" s="140" t="s">
        <v>876</v>
      </c>
      <c r="I9" s="140">
        <v>-7.4999999999999997E-3</v>
      </c>
    </row>
    <row r="10" spans="1:24" x14ac:dyDescent="0.25">
      <c r="A10">
        <v>5504</v>
      </c>
      <c r="B10" t="s">
        <v>160</v>
      </c>
      <c r="C10" t="s">
        <v>137</v>
      </c>
      <c r="D10" t="s">
        <v>137</v>
      </c>
      <c r="E10" t="s">
        <v>137</v>
      </c>
      <c r="F10" t="s">
        <v>137</v>
      </c>
      <c r="G10" s="78" t="s">
        <v>874</v>
      </c>
      <c r="H10" s="140" t="s">
        <v>876</v>
      </c>
      <c r="I10" s="140">
        <v>-7.4999999999999997E-3</v>
      </c>
    </row>
    <row r="11" spans="1:24" x14ac:dyDescent="0.25">
      <c r="A11">
        <v>5505</v>
      </c>
      <c r="B11" t="s">
        <v>161</v>
      </c>
      <c r="C11" t="s">
        <v>137</v>
      </c>
      <c r="D11" t="s">
        <v>137</v>
      </c>
      <c r="E11" t="s">
        <v>137</v>
      </c>
      <c r="F11" t="s">
        <v>137</v>
      </c>
      <c r="G11" s="78" t="s">
        <v>874</v>
      </c>
      <c r="H11" s="140" t="s">
        <v>876</v>
      </c>
      <c r="I11" s="140">
        <v>-7.4999999999999997E-3</v>
      </c>
    </row>
    <row r="12" spans="1:24" x14ac:dyDescent="0.25">
      <c r="A12">
        <v>5506</v>
      </c>
      <c r="B12" t="s">
        <v>162</v>
      </c>
      <c r="C12" t="s">
        <v>137</v>
      </c>
      <c r="D12" t="s">
        <v>137</v>
      </c>
      <c r="E12" t="s">
        <v>137</v>
      </c>
      <c r="F12" t="s">
        <v>137</v>
      </c>
      <c r="G12" s="78" t="s">
        <v>874</v>
      </c>
      <c r="H12" s="140" t="s">
        <v>876</v>
      </c>
      <c r="I12" s="140">
        <v>-7.4999999999999997E-3</v>
      </c>
    </row>
    <row r="13" spans="1:24" x14ac:dyDescent="0.25">
      <c r="A13">
        <v>5507</v>
      </c>
      <c r="B13" t="s">
        <v>844</v>
      </c>
      <c r="C13" t="s">
        <v>137</v>
      </c>
      <c r="D13" t="s">
        <v>137</v>
      </c>
      <c r="E13" t="s">
        <v>137</v>
      </c>
      <c r="F13" t="s">
        <v>137</v>
      </c>
      <c r="G13" s="78" t="s">
        <v>874</v>
      </c>
      <c r="H13" s="140" t="s">
        <v>876</v>
      </c>
      <c r="I13" s="140">
        <v>-7.4999999999999997E-3</v>
      </c>
    </row>
    <row r="14" spans="1:24" x14ac:dyDescent="0.25">
      <c r="A14">
        <v>5508</v>
      </c>
      <c r="B14" t="s">
        <v>163</v>
      </c>
      <c r="C14" t="s">
        <v>137</v>
      </c>
      <c r="D14" t="s">
        <v>137</v>
      </c>
      <c r="E14" t="s">
        <v>137</v>
      </c>
      <c r="F14" t="s">
        <v>137</v>
      </c>
      <c r="G14" s="78" t="s">
        <v>874</v>
      </c>
      <c r="H14" s="140" t="s">
        <v>876</v>
      </c>
      <c r="I14" s="140">
        <v>-7.4999999999999997E-3</v>
      </c>
    </row>
    <row r="15" spans="1:24" x14ac:dyDescent="0.25">
      <c r="A15">
        <v>5509</v>
      </c>
      <c r="B15" t="s">
        <v>164</v>
      </c>
      <c r="C15" t="s">
        <v>137</v>
      </c>
      <c r="D15" t="s">
        <v>137</v>
      </c>
      <c r="E15" t="s">
        <v>137</v>
      </c>
      <c r="F15" t="s">
        <v>137</v>
      </c>
      <c r="G15" s="78" t="s">
        <v>874</v>
      </c>
      <c r="H15" s="140" t="s">
        <v>876</v>
      </c>
      <c r="I15" s="140">
        <v>-7.4999999999999997E-3</v>
      </c>
    </row>
    <row r="16" spans="1:24" x14ac:dyDescent="0.25">
      <c r="A16">
        <v>5510</v>
      </c>
      <c r="B16" t="s">
        <v>845</v>
      </c>
      <c r="C16" t="s">
        <v>137</v>
      </c>
      <c r="D16" t="s">
        <v>137</v>
      </c>
      <c r="E16" t="s">
        <v>137</v>
      </c>
      <c r="F16" t="s">
        <v>137</v>
      </c>
      <c r="G16" s="78" t="s">
        <v>874</v>
      </c>
      <c r="H16" s="140" t="s">
        <v>876</v>
      </c>
      <c r="I16" s="140">
        <v>-7.4999999999999997E-3</v>
      </c>
    </row>
    <row r="17" spans="1:9" x14ac:dyDescent="0.25">
      <c r="A17">
        <v>5511</v>
      </c>
      <c r="B17" t="s">
        <v>846</v>
      </c>
      <c r="C17" t="s">
        <v>137</v>
      </c>
      <c r="D17" t="s">
        <v>137</v>
      </c>
      <c r="E17" t="s">
        <v>137</v>
      </c>
      <c r="F17" t="s">
        <v>137</v>
      </c>
      <c r="G17" s="78" t="s">
        <v>874</v>
      </c>
      <c r="H17" s="140" t="s">
        <v>876</v>
      </c>
      <c r="I17" s="140">
        <v>-7.4999999999999997E-3</v>
      </c>
    </row>
    <row r="18" spans="1:9" x14ac:dyDescent="0.25">
      <c r="A18">
        <v>5512</v>
      </c>
      <c r="B18" t="s">
        <v>165</v>
      </c>
      <c r="C18" t="s">
        <v>137</v>
      </c>
      <c r="D18" t="s">
        <v>137</v>
      </c>
      <c r="E18" t="s">
        <v>137</v>
      </c>
      <c r="F18" t="s">
        <v>137</v>
      </c>
      <c r="G18" s="78" t="s">
        <v>874</v>
      </c>
      <c r="H18" s="140" t="s">
        <v>876</v>
      </c>
      <c r="I18" s="140">
        <v>-7.4999999999999997E-3</v>
      </c>
    </row>
    <row r="19" spans="1:9" x14ac:dyDescent="0.25">
      <c r="A19">
        <v>3088</v>
      </c>
      <c r="B19" t="s">
        <v>171</v>
      </c>
      <c r="C19" t="s">
        <v>66</v>
      </c>
      <c r="D19" t="s">
        <v>168</v>
      </c>
      <c r="E19" t="s">
        <v>59</v>
      </c>
      <c r="F19" t="s">
        <v>169</v>
      </c>
      <c r="G19" s="78" t="s">
        <v>875</v>
      </c>
      <c r="H19" s="140">
        <v>-3.8811888076831285E-3</v>
      </c>
      <c r="I19" s="140">
        <v>-3.9499999999999995E-3</v>
      </c>
    </row>
    <row r="20" spans="1:9" x14ac:dyDescent="0.25">
      <c r="A20">
        <v>3090</v>
      </c>
      <c r="B20" t="s">
        <v>179</v>
      </c>
      <c r="C20" t="s">
        <v>66</v>
      </c>
      <c r="D20" t="s">
        <v>168</v>
      </c>
      <c r="E20" t="s">
        <v>59</v>
      </c>
      <c r="F20" t="s">
        <v>169</v>
      </c>
      <c r="G20" s="78" t="s">
        <v>875</v>
      </c>
      <c r="H20" s="140">
        <v>-1.8771299591175768E-3</v>
      </c>
      <c r="I20" s="140">
        <v>-3.4500000000000004E-3</v>
      </c>
    </row>
    <row r="21" spans="1:9" x14ac:dyDescent="0.25">
      <c r="A21">
        <v>798</v>
      </c>
      <c r="B21" t="s">
        <v>178</v>
      </c>
      <c r="C21" t="s">
        <v>167</v>
      </c>
      <c r="D21" t="s">
        <v>168</v>
      </c>
      <c r="E21" t="s">
        <v>59</v>
      </c>
      <c r="F21" t="s">
        <v>169</v>
      </c>
      <c r="G21" s="78" t="s">
        <v>872</v>
      </c>
      <c r="H21" s="140">
        <v>-8.0000000000000002E-3</v>
      </c>
      <c r="I21" s="140">
        <v>-6.8999999999999999E-3</v>
      </c>
    </row>
    <row r="22" spans="1:9" x14ac:dyDescent="0.25">
      <c r="A22">
        <v>614</v>
      </c>
      <c r="B22" t="s">
        <v>174</v>
      </c>
      <c r="C22" t="s">
        <v>167</v>
      </c>
      <c r="D22" t="s">
        <v>168</v>
      </c>
      <c r="E22" t="s">
        <v>59</v>
      </c>
      <c r="F22" t="s">
        <v>169</v>
      </c>
      <c r="G22" s="78" t="s">
        <v>872</v>
      </c>
      <c r="H22" s="140">
        <v>-8.9999999999999993E-3</v>
      </c>
      <c r="I22" s="140">
        <v>-8.3999999999999995E-3</v>
      </c>
    </row>
    <row r="23" spans="1:9" x14ac:dyDescent="0.25">
      <c r="A23">
        <v>1206</v>
      </c>
      <c r="B23" t="s">
        <v>847</v>
      </c>
      <c r="C23" t="s">
        <v>167</v>
      </c>
      <c r="D23" t="s">
        <v>168</v>
      </c>
      <c r="E23" t="s">
        <v>59</v>
      </c>
      <c r="F23" t="s">
        <v>169</v>
      </c>
      <c r="G23" s="78" t="s">
        <v>874</v>
      </c>
      <c r="H23" s="140" t="s">
        <v>876</v>
      </c>
      <c r="I23" s="140">
        <v>-8.6E-3</v>
      </c>
    </row>
    <row r="24" spans="1:9" x14ac:dyDescent="0.25">
      <c r="A24">
        <v>77</v>
      </c>
      <c r="B24" t="s">
        <v>170</v>
      </c>
      <c r="C24" t="s">
        <v>167</v>
      </c>
      <c r="D24" t="s">
        <v>168</v>
      </c>
      <c r="E24" t="s">
        <v>59</v>
      </c>
      <c r="F24" t="s">
        <v>169</v>
      </c>
      <c r="G24" s="78" t="s">
        <v>873</v>
      </c>
      <c r="H24" s="140">
        <v>-6.5879280068105919E-3</v>
      </c>
      <c r="I24" s="140">
        <v>-7.0740741515652244E-3</v>
      </c>
    </row>
    <row r="25" spans="1:9" x14ac:dyDescent="0.25">
      <c r="A25">
        <v>78</v>
      </c>
      <c r="B25" t="s">
        <v>171</v>
      </c>
      <c r="C25" t="s">
        <v>167</v>
      </c>
      <c r="D25" t="s">
        <v>168</v>
      </c>
      <c r="E25" t="s">
        <v>59</v>
      </c>
      <c r="F25" t="s">
        <v>169</v>
      </c>
      <c r="G25" s="78" t="s">
        <v>873</v>
      </c>
      <c r="H25" s="140">
        <v>-1.1945148785252234E-2</v>
      </c>
      <c r="I25" s="140">
        <v>-1.1801279407875207E-2</v>
      </c>
    </row>
    <row r="26" spans="1:9" x14ac:dyDescent="0.25">
      <c r="A26">
        <v>693</v>
      </c>
      <c r="B26" t="s">
        <v>175</v>
      </c>
      <c r="C26" t="s">
        <v>167</v>
      </c>
      <c r="D26" t="s">
        <v>168</v>
      </c>
      <c r="E26" t="s">
        <v>59</v>
      </c>
      <c r="F26" t="s">
        <v>169</v>
      </c>
      <c r="G26" s="78" t="s">
        <v>875</v>
      </c>
      <c r="H26" s="140">
        <v>-5.7999999999999996E-3</v>
      </c>
      <c r="I26" s="140">
        <v>-8.2000000000000007E-3</v>
      </c>
    </row>
    <row r="27" spans="1:9" x14ac:dyDescent="0.25">
      <c r="A27">
        <v>76</v>
      </c>
      <c r="B27" t="s">
        <v>166</v>
      </c>
      <c r="C27" t="s">
        <v>167</v>
      </c>
      <c r="D27" t="s">
        <v>168</v>
      </c>
      <c r="E27" t="s">
        <v>59</v>
      </c>
      <c r="F27" t="s">
        <v>169</v>
      </c>
      <c r="G27" s="78" t="s">
        <v>873</v>
      </c>
      <c r="H27" s="140">
        <v>-1.52E-2</v>
      </c>
      <c r="I27" s="140">
        <v>-9.4000000000000004E-3</v>
      </c>
    </row>
    <row r="28" spans="1:9" x14ac:dyDescent="0.25">
      <c r="A28">
        <v>79</v>
      </c>
      <c r="B28" t="s">
        <v>172</v>
      </c>
      <c r="C28" t="s">
        <v>167</v>
      </c>
      <c r="D28" t="s">
        <v>168</v>
      </c>
      <c r="E28" t="s">
        <v>59</v>
      </c>
      <c r="F28" t="s">
        <v>169</v>
      </c>
      <c r="G28" s="78" t="s">
        <v>872</v>
      </c>
      <c r="H28" s="140">
        <v>-6.2157499313534852E-3</v>
      </c>
      <c r="I28" s="140">
        <v>-6.3842805832070573E-3</v>
      </c>
    </row>
    <row r="29" spans="1:9" x14ac:dyDescent="0.25">
      <c r="A29">
        <v>107</v>
      </c>
      <c r="B29" t="s">
        <v>173</v>
      </c>
      <c r="C29" t="s">
        <v>167</v>
      </c>
      <c r="D29" t="s">
        <v>168</v>
      </c>
      <c r="E29" t="s">
        <v>59</v>
      </c>
      <c r="F29" t="s">
        <v>169</v>
      </c>
      <c r="G29" s="78" t="s">
        <v>873</v>
      </c>
      <c r="H29" s="140">
        <v>-9.5999999999999992E-3</v>
      </c>
      <c r="I29" s="140">
        <v>-5.1999999999999998E-3</v>
      </c>
    </row>
    <row r="30" spans="1:9" x14ac:dyDescent="0.25">
      <c r="A30">
        <v>694</v>
      </c>
      <c r="B30" t="s">
        <v>176</v>
      </c>
      <c r="C30" t="s">
        <v>167</v>
      </c>
      <c r="D30" t="s">
        <v>168</v>
      </c>
      <c r="E30" t="s">
        <v>59</v>
      </c>
      <c r="F30" t="s">
        <v>169</v>
      </c>
      <c r="G30" s="78" t="s">
        <v>872</v>
      </c>
      <c r="H30" s="140">
        <v>-9.1022332380302617E-3</v>
      </c>
      <c r="I30" s="140">
        <v>-8.9541605240948223E-3</v>
      </c>
    </row>
    <row r="31" spans="1:9" x14ac:dyDescent="0.25">
      <c r="A31">
        <v>772</v>
      </c>
      <c r="B31" t="s">
        <v>177</v>
      </c>
      <c r="C31" t="s">
        <v>167</v>
      </c>
      <c r="D31" t="s">
        <v>168</v>
      </c>
      <c r="E31" t="s">
        <v>59</v>
      </c>
      <c r="F31" t="s">
        <v>169</v>
      </c>
      <c r="G31" s="78" t="s">
        <v>872</v>
      </c>
      <c r="H31" s="140">
        <v>-1.055459639939548E-2</v>
      </c>
      <c r="I31" s="140">
        <v>-1.021236489402434E-2</v>
      </c>
    </row>
    <row r="32" spans="1:9" x14ac:dyDescent="0.25">
      <c r="A32">
        <v>3083</v>
      </c>
      <c r="B32" t="s">
        <v>191</v>
      </c>
      <c r="C32" t="s">
        <v>66</v>
      </c>
      <c r="D32" t="s">
        <v>168</v>
      </c>
      <c r="E32" t="s">
        <v>59</v>
      </c>
      <c r="F32" t="s">
        <v>181</v>
      </c>
      <c r="G32" s="78" t="s">
        <v>873</v>
      </c>
      <c r="H32" s="140">
        <v>-7.7424829969648433E-3</v>
      </c>
      <c r="I32" s="140">
        <v>-6.5462900793820554E-3</v>
      </c>
    </row>
    <row r="33" spans="1:9" x14ac:dyDescent="0.25">
      <c r="A33">
        <v>3089</v>
      </c>
      <c r="B33" t="s">
        <v>184</v>
      </c>
      <c r="C33" t="s">
        <v>66</v>
      </c>
      <c r="D33" t="s">
        <v>168</v>
      </c>
      <c r="E33" t="s">
        <v>59</v>
      </c>
      <c r="F33" t="s">
        <v>181</v>
      </c>
      <c r="G33" s="78" t="s">
        <v>873</v>
      </c>
      <c r="H33" s="140">
        <v>-1.2096976384051489E-2</v>
      </c>
      <c r="I33" s="140">
        <v>-6.9499999999999996E-3</v>
      </c>
    </row>
    <row r="34" spans="1:9" x14ac:dyDescent="0.25">
      <c r="A34">
        <v>1141</v>
      </c>
      <c r="B34" t="s">
        <v>188</v>
      </c>
      <c r="C34" t="s">
        <v>167</v>
      </c>
      <c r="D34" t="s">
        <v>168</v>
      </c>
      <c r="E34" t="s">
        <v>59</v>
      </c>
      <c r="F34" t="s">
        <v>181</v>
      </c>
      <c r="G34" s="78" t="s">
        <v>873</v>
      </c>
      <c r="H34" s="140">
        <v>-1.3599999999999999E-2</v>
      </c>
      <c r="I34" s="140">
        <v>-8.3999999999999995E-3</v>
      </c>
    </row>
    <row r="35" spans="1:9" x14ac:dyDescent="0.25">
      <c r="A35">
        <v>1148</v>
      </c>
      <c r="B35" t="s">
        <v>189</v>
      </c>
      <c r="C35" t="s">
        <v>167</v>
      </c>
      <c r="D35" t="s">
        <v>168</v>
      </c>
      <c r="E35" t="s">
        <v>59</v>
      </c>
      <c r="F35" t="s">
        <v>181</v>
      </c>
      <c r="G35" s="78" t="s">
        <v>874</v>
      </c>
      <c r="H35" s="140">
        <v>-7.4496563425727087E-3</v>
      </c>
      <c r="I35" s="140">
        <v>-7.4496563425727087E-3</v>
      </c>
    </row>
    <row r="36" spans="1:9" x14ac:dyDescent="0.25">
      <c r="A36">
        <v>1173</v>
      </c>
      <c r="B36" t="s">
        <v>190</v>
      </c>
      <c r="C36" t="s">
        <v>167</v>
      </c>
      <c r="D36" t="s">
        <v>168</v>
      </c>
      <c r="E36" t="s">
        <v>59</v>
      </c>
      <c r="F36" t="s">
        <v>181</v>
      </c>
      <c r="G36" s="78" t="s">
        <v>874</v>
      </c>
      <c r="H36" s="140">
        <v>0</v>
      </c>
      <c r="I36" s="140">
        <v>-8.6E-3</v>
      </c>
    </row>
    <row r="37" spans="1:9" x14ac:dyDescent="0.25">
      <c r="A37">
        <v>1226</v>
      </c>
      <c r="B37" t="s">
        <v>878</v>
      </c>
      <c r="C37" t="s">
        <v>167</v>
      </c>
      <c r="D37" t="s">
        <v>168</v>
      </c>
      <c r="E37" t="s">
        <v>59</v>
      </c>
      <c r="F37" t="s">
        <v>181</v>
      </c>
      <c r="G37" s="78" t="s">
        <v>874</v>
      </c>
      <c r="H37" s="140" t="s">
        <v>876</v>
      </c>
      <c r="I37" s="140"/>
    </row>
    <row r="38" spans="1:9" x14ac:dyDescent="0.25">
      <c r="A38">
        <v>142</v>
      </c>
      <c r="B38" t="s">
        <v>180</v>
      </c>
      <c r="C38" t="s">
        <v>167</v>
      </c>
      <c r="D38" t="s">
        <v>168</v>
      </c>
      <c r="E38" t="s">
        <v>59</v>
      </c>
      <c r="F38" t="s">
        <v>181</v>
      </c>
      <c r="G38" s="78" t="s">
        <v>873</v>
      </c>
      <c r="H38" s="140">
        <v>-7.0159478125035929E-3</v>
      </c>
      <c r="I38" s="140">
        <v>-7.3755418264141647E-3</v>
      </c>
    </row>
    <row r="39" spans="1:9" x14ac:dyDescent="0.25">
      <c r="A39">
        <v>413</v>
      </c>
      <c r="B39" t="s">
        <v>184</v>
      </c>
      <c r="C39" t="s">
        <v>167</v>
      </c>
      <c r="D39" t="s">
        <v>168</v>
      </c>
      <c r="E39" t="s">
        <v>59</v>
      </c>
      <c r="F39" t="s">
        <v>181</v>
      </c>
      <c r="G39" s="78" t="s">
        <v>872</v>
      </c>
      <c r="H39" s="140">
        <v>-8.8000000000000005E-3</v>
      </c>
      <c r="I39" s="140">
        <v>-8.6E-3</v>
      </c>
    </row>
    <row r="40" spans="1:9" x14ac:dyDescent="0.25">
      <c r="A40">
        <v>414</v>
      </c>
      <c r="B40" t="s">
        <v>185</v>
      </c>
      <c r="C40" t="s">
        <v>167</v>
      </c>
      <c r="D40" t="s">
        <v>168</v>
      </c>
      <c r="E40" t="s">
        <v>59</v>
      </c>
      <c r="F40" t="s">
        <v>181</v>
      </c>
      <c r="G40" s="78" t="s">
        <v>872</v>
      </c>
      <c r="H40" s="140">
        <v>-8.9999999999999993E-3</v>
      </c>
      <c r="I40" s="140">
        <v>-1.09E-2</v>
      </c>
    </row>
    <row r="41" spans="1:9" x14ac:dyDescent="0.25">
      <c r="A41">
        <v>641</v>
      </c>
      <c r="B41" t="s">
        <v>186</v>
      </c>
      <c r="C41" t="s">
        <v>167</v>
      </c>
      <c r="D41" t="s">
        <v>168</v>
      </c>
      <c r="E41" t="s">
        <v>59</v>
      </c>
      <c r="F41" t="s">
        <v>181</v>
      </c>
      <c r="G41" s="78" t="s">
        <v>875</v>
      </c>
      <c r="H41" s="140">
        <v>-6.1999999999999998E-3</v>
      </c>
      <c r="I41" s="140">
        <v>-7.0000000000000001E-3</v>
      </c>
    </row>
    <row r="42" spans="1:9" s="31" customFormat="1" x14ac:dyDescent="0.25">
      <c r="A42" s="31">
        <v>283</v>
      </c>
      <c r="B42" s="31" t="s">
        <v>182</v>
      </c>
      <c r="C42" s="31" t="s">
        <v>167</v>
      </c>
      <c r="D42" s="31" t="s">
        <v>168</v>
      </c>
      <c r="E42" s="31" t="s">
        <v>59</v>
      </c>
      <c r="F42" s="31" t="s">
        <v>181</v>
      </c>
      <c r="G42" s="78" t="s">
        <v>872</v>
      </c>
      <c r="H42" s="140">
        <v>-4.1034655696398576E-3</v>
      </c>
      <c r="I42" s="140">
        <v>-4.5065376508292895E-3</v>
      </c>
    </row>
    <row r="43" spans="1:9" x14ac:dyDescent="0.25">
      <c r="A43">
        <v>290</v>
      </c>
      <c r="B43" t="s">
        <v>183</v>
      </c>
      <c r="C43" t="s">
        <v>167</v>
      </c>
      <c r="D43" t="s">
        <v>168</v>
      </c>
      <c r="E43" t="s">
        <v>59</v>
      </c>
      <c r="F43" t="s">
        <v>181</v>
      </c>
      <c r="G43" s="78" t="s">
        <v>872</v>
      </c>
      <c r="H43" s="140">
        <v>-9.9083518061795946E-3</v>
      </c>
      <c r="I43" s="140">
        <v>-9.6624443773501052E-3</v>
      </c>
    </row>
    <row r="44" spans="1:9" x14ac:dyDescent="0.25">
      <c r="A44">
        <v>1031</v>
      </c>
      <c r="B44" t="s">
        <v>187</v>
      </c>
      <c r="C44" t="s">
        <v>167</v>
      </c>
      <c r="D44" t="s">
        <v>168</v>
      </c>
      <c r="E44" t="s">
        <v>59</v>
      </c>
      <c r="F44" t="s">
        <v>181</v>
      </c>
      <c r="G44" s="78" t="s">
        <v>872</v>
      </c>
      <c r="H44" s="140">
        <v>-1.35E-2</v>
      </c>
      <c r="I44" s="140">
        <v>-1.24E-2</v>
      </c>
    </row>
    <row r="45" spans="1:9" x14ac:dyDescent="0.25">
      <c r="A45">
        <v>3052</v>
      </c>
      <c r="B45" t="s">
        <v>196</v>
      </c>
      <c r="C45" t="s">
        <v>66</v>
      </c>
      <c r="D45" t="s">
        <v>168</v>
      </c>
      <c r="E45" t="s">
        <v>59</v>
      </c>
      <c r="F45" t="s">
        <v>193</v>
      </c>
      <c r="G45" s="78" t="s">
        <v>875</v>
      </c>
      <c r="H45" s="140">
        <v>-4.2752044784346594E-3</v>
      </c>
      <c r="I45" s="140">
        <v>-3.8500000000000001E-3</v>
      </c>
    </row>
    <row r="46" spans="1:9" x14ac:dyDescent="0.25">
      <c r="A46">
        <v>123</v>
      </c>
      <c r="B46" t="s">
        <v>192</v>
      </c>
      <c r="C46" t="s">
        <v>167</v>
      </c>
      <c r="D46" t="s">
        <v>168</v>
      </c>
      <c r="E46" t="s">
        <v>59</v>
      </c>
      <c r="F46" t="s">
        <v>193</v>
      </c>
      <c r="G46" s="78" t="s">
        <v>875</v>
      </c>
      <c r="H46" s="140">
        <v>-2.3999999999999998E-3</v>
      </c>
      <c r="I46" s="140">
        <v>-4.1999999999999997E-3</v>
      </c>
    </row>
    <row r="47" spans="1:9" x14ac:dyDescent="0.25">
      <c r="A47">
        <v>396</v>
      </c>
      <c r="B47" t="s">
        <v>199</v>
      </c>
      <c r="C47" t="s">
        <v>167</v>
      </c>
      <c r="D47" t="s">
        <v>168</v>
      </c>
      <c r="E47" t="s">
        <v>59</v>
      </c>
      <c r="F47" t="s">
        <v>193</v>
      </c>
      <c r="G47" s="78" t="s">
        <v>875</v>
      </c>
      <c r="H47" s="140">
        <v>-2.3298912378012801E-3</v>
      </c>
      <c r="I47" s="140">
        <v>-4.4999999999999997E-3</v>
      </c>
    </row>
    <row r="48" spans="1:9" x14ac:dyDescent="0.25">
      <c r="A48">
        <v>3072</v>
      </c>
      <c r="B48" t="s">
        <v>195</v>
      </c>
      <c r="C48" t="s">
        <v>66</v>
      </c>
      <c r="D48" t="s">
        <v>168</v>
      </c>
      <c r="E48" t="s">
        <v>59</v>
      </c>
      <c r="F48" t="s">
        <v>193</v>
      </c>
      <c r="G48" s="78" t="s">
        <v>872</v>
      </c>
      <c r="H48" s="140">
        <v>-5.838631736203157E-3</v>
      </c>
      <c r="I48" s="140">
        <v>-5.1500000000000001E-3</v>
      </c>
    </row>
    <row r="49" spans="1:9" x14ac:dyDescent="0.25">
      <c r="A49">
        <v>127</v>
      </c>
      <c r="B49" t="s">
        <v>194</v>
      </c>
      <c r="C49" t="s">
        <v>167</v>
      </c>
      <c r="D49" t="s">
        <v>168</v>
      </c>
      <c r="E49" t="s">
        <v>59</v>
      </c>
      <c r="F49" t="s">
        <v>193</v>
      </c>
      <c r="G49" s="78" t="s">
        <v>872</v>
      </c>
      <c r="H49" s="140">
        <v>-6.7999999999999996E-3</v>
      </c>
      <c r="I49" s="140">
        <v>-6.0000000000000001E-3</v>
      </c>
    </row>
    <row r="50" spans="1:9" x14ac:dyDescent="0.25">
      <c r="A50">
        <v>199</v>
      </c>
      <c r="B50" t="s">
        <v>195</v>
      </c>
      <c r="C50" t="s">
        <v>167</v>
      </c>
      <c r="D50" t="s">
        <v>168</v>
      </c>
      <c r="E50" t="s">
        <v>59</v>
      </c>
      <c r="F50" t="s">
        <v>193</v>
      </c>
      <c r="G50" s="78" t="s">
        <v>873</v>
      </c>
      <c r="H50" s="140">
        <v>-9.7666027711277772E-3</v>
      </c>
      <c r="I50" s="140">
        <v>-7.9000000000000008E-3</v>
      </c>
    </row>
    <row r="51" spans="1:9" x14ac:dyDescent="0.25">
      <c r="A51">
        <v>206</v>
      </c>
      <c r="B51" t="s">
        <v>193</v>
      </c>
      <c r="C51" t="s">
        <v>167</v>
      </c>
      <c r="D51" t="s">
        <v>168</v>
      </c>
      <c r="E51" t="s">
        <v>59</v>
      </c>
      <c r="F51" t="s">
        <v>193</v>
      </c>
      <c r="G51" s="78" t="s">
        <v>873</v>
      </c>
      <c r="H51" s="140">
        <v>-1.2898758492566461E-2</v>
      </c>
      <c r="I51" s="140">
        <v>-1.2663784549153734E-2</v>
      </c>
    </row>
    <row r="52" spans="1:9" x14ac:dyDescent="0.25">
      <c r="A52">
        <v>207</v>
      </c>
      <c r="B52" t="s">
        <v>196</v>
      </c>
      <c r="C52" t="s">
        <v>167</v>
      </c>
      <c r="D52" t="s">
        <v>168</v>
      </c>
      <c r="E52" t="s">
        <v>59</v>
      </c>
      <c r="F52" t="s">
        <v>193</v>
      </c>
      <c r="G52" s="78" t="s">
        <v>873</v>
      </c>
      <c r="H52" s="140">
        <v>-8.3302988744657219E-3</v>
      </c>
      <c r="I52" s="140">
        <v>-8.3005900369387715E-3</v>
      </c>
    </row>
    <row r="53" spans="1:9" x14ac:dyDescent="0.25">
      <c r="A53">
        <v>308</v>
      </c>
      <c r="B53" t="s">
        <v>198</v>
      </c>
      <c r="C53" t="s">
        <v>167</v>
      </c>
      <c r="D53" t="s">
        <v>168</v>
      </c>
      <c r="E53" t="s">
        <v>59</v>
      </c>
      <c r="F53" t="s">
        <v>193</v>
      </c>
      <c r="G53" s="78" t="s">
        <v>873</v>
      </c>
      <c r="H53" s="140">
        <v>-6.0680432576051251E-3</v>
      </c>
      <c r="I53" s="140">
        <v>-6.6158770829239308E-3</v>
      </c>
    </row>
    <row r="54" spans="1:9" x14ac:dyDescent="0.25">
      <c r="A54">
        <v>397</v>
      </c>
      <c r="B54" t="s">
        <v>200</v>
      </c>
      <c r="C54" t="s">
        <v>167</v>
      </c>
      <c r="D54" t="s">
        <v>168</v>
      </c>
      <c r="E54" t="s">
        <v>59</v>
      </c>
      <c r="F54" t="s">
        <v>193</v>
      </c>
      <c r="G54" s="78" t="s">
        <v>875</v>
      </c>
      <c r="H54" s="140">
        <v>-4.0000000000000002E-4</v>
      </c>
      <c r="I54" s="140">
        <v>-1.09E-2</v>
      </c>
    </row>
    <row r="55" spans="1:9" x14ac:dyDescent="0.25">
      <c r="A55">
        <v>3038</v>
      </c>
      <c r="B55" t="s">
        <v>212</v>
      </c>
      <c r="C55" t="s">
        <v>66</v>
      </c>
      <c r="D55" t="s">
        <v>168</v>
      </c>
      <c r="E55" t="s">
        <v>59</v>
      </c>
      <c r="F55" t="s">
        <v>202</v>
      </c>
      <c r="G55" s="78" t="s">
        <v>875</v>
      </c>
      <c r="H55" s="140">
        <v>2.6305528608029467E-3</v>
      </c>
      <c r="I55" s="140">
        <v>-3.4500000000000004E-3</v>
      </c>
    </row>
    <row r="56" spans="1:9" x14ac:dyDescent="0.25">
      <c r="A56">
        <v>85</v>
      </c>
      <c r="B56" t="s">
        <v>205</v>
      </c>
      <c r="C56" t="s">
        <v>167</v>
      </c>
      <c r="D56" t="s">
        <v>168</v>
      </c>
      <c r="E56" t="s">
        <v>59</v>
      </c>
      <c r="F56" t="s">
        <v>202</v>
      </c>
      <c r="G56" s="78" t="s">
        <v>873</v>
      </c>
      <c r="H56" s="140">
        <v>-9.2999999999999992E-3</v>
      </c>
      <c r="I56" s="140">
        <v>-5.4000000000000003E-3</v>
      </c>
    </row>
    <row r="57" spans="1:9" x14ac:dyDescent="0.25">
      <c r="A57">
        <v>379</v>
      </c>
      <c r="B57" t="s">
        <v>209</v>
      </c>
      <c r="C57" t="s">
        <v>167</v>
      </c>
      <c r="D57" t="s">
        <v>168</v>
      </c>
      <c r="E57" t="s">
        <v>59</v>
      </c>
      <c r="F57" t="s">
        <v>202</v>
      </c>
      <c r="G57" s="78" t="s">
        <v>875</v>
      </c>
      <c r="H57" s="140">
        <v>-2.3999999999999998E-3</v>
      </c>
      <c r="I57" s="140">
        <v>-4.8999999999999998E-3</v>
      </c>
    </row>
    <row r="58" spans="1:9" x14ac:dyDescent="0.25">
      <c r="A58">
        <v>1096</v>
      </c>
      <c r="B58" t="s">
        <v>211</v>
      </c>
      <c r="C58" t="s">
        <v>167</v>
      </c>
      <c r="D58" t="s">
        <v>168</v>
      </c>
      <c r="E58" t="s">
        <v>59</v>
      </c>
      <c r="F58" t="s">
        <v>202</v>
      </c>
      <c r="G58" s="78" t="s">
        <v>875</v>
      </c>
      <c r="H58" s="140">
        <v>-4.4999999999999997E-3</v>
      </c>
      <c r="I58" s="140">
        <v>-8.3999999999999995E-3</v>
      </c>
    </row>
    <row r="59" spans="1:9" x14ac:dyDescent="0.25">
      <c r="A59">
        <v>3036</v>
      </c>
      <c r="B59" t="s">
        <v>203</v>
      </c>
      <c r="C59" t="s">
        <v>66</v>
      </c>
      <c r="D59" t="s">
        <v>168</v>
      </c>
      <c r="E59" t="s">
        <v>59</v>
      </c>
      <c r="F59" t="s">
        <v>202</v>
      </c>
      <c r="G59" s="78" t="s">
        <v>872</v>
      </c>
      <c r="H59" s="140">
        <v>-4.5430816377394125E-3</v>
      </c>
      <c r="I59" s="140">
        <v>-4.0499999999999998E-3</v>
      </c>
    </row>
    <row r="60" spans="1:9" x14ac:dyDescent="0.25">
      <c r="A60">
        <v>34</v>
      </c>
      <c r="B60" t="s">
        <v>203</v>
      </c>
      <c r="C60" t="s">
        <v>167</v>
      </c>
      <c r="D60" t="s">
        <v>168</v>
      </c>
      <c r="E60" t="s">
        <v>59</v>
      </c>
      <c r="F60" t="s">
        <v>202</v>
      </c>
      <c r="G60" s="78" t="s">
        <v>873</v>
      </c>
      <c r="H60" s="140">
        <v>-1.4232159277275681E-2</v>
      </c>
      <c r="I60" s="140">
        <v>-1.3835734850392759E-2</v>
      </c>
    </row>
    <row r="61" spans="1:9" x14ac:dyDescent="0.25">
      <c r="A61">
        <v>763</v>
      </c>
      <c r="B61" t="s">
        <v>210</v>
      </c>
      <c r="C61" t="s">
        <v>167</v>
      </c>
      <c r="D61" t="s">
        <v>168</v>
      </c>
      <c r="E61" t="s">
        <v>59</v>
      </c>
      <c r="F61" t="s">
        <v>202</v>
      </c>
      <c r="G61" s="78" t="s">
        <v>872</v>
      </c>
      <c r="H61" s="140">
        <v>-1.1599999999999999E-2</v>
      </c>
      <c r="I61" s="140">
        <v>-1.2999999999999999E-2</v>
      </c>
    </row>
    <row r="62" spans="1:9" x14ac:dyDescent="0.25">
      <c r="A62">
        <v>33</v>
      </c>
      <c r="B62" t="s">
        <v>201</v>
      </c>
      <c r="C62" t="s">
        <v>167</v>
      </c>
      <c r="D62" t="s">
        <v>168</v>
      </c>
      <c r="E62" t="s">
        <v>59</v>
      </c>
      <c r="F62" t="s">
        <v>202</v>
      </c>
      <c r="G62" s="78" t="s">
        <v>872</v>
      </c>
      <c r="H62" s="140">
        <v>-8.5466381418032641E-3</v>
      </c>
      <c r="I62" s="140">
        <v>-8.0792696079356706E-3</v>
      </c>
    </row>
    <row r="63" spans="1:9" x14ac:dyDescent="0.25">
      <c r="A63">
        <v>82</v>
      </c>
      <c r="B63" t="s">
        <v>204</v>
      </c>
      <c r="C63" t="s">
        <v>167</v>
      </c>
      <c r="D63" t="s">
        <v>168</v>
      </c>
      <c r="E63" t="s">
        <v>59</v>
      </c>
      <c r="F63" t="s">
        <v>202</v>
      </c>
      <c r="G63" s="78" t="s">
        <v>872</v>
      </c>
      <c r="H63" s="140">
        <v>-5.4697591626948283E-3</v>
      </c>
      <c r="I63" s="140">
        <v>-5.7414717393407368E-3</v>
      </c>
    </row>
    <row r="64" spans="1:9" x14ac:dyDescent="0.25">
      <c r="A64">
        <v>86</v>
      </c>
      <c r="B64" t="s">
        <v>206</v>
      </c>
      <c r="C64" t="s">
        <v>167</v>
      </c>
      <c r="D64" t="s">
        <v>168</v>
      </c>
      <c r="E64" t="s">
        <v>59</v>
      </c>
      <c r="F64" t="s">
        <v>202</v>
      </c>
      <c r="G64" s="78" t="s">
        <v>872</v>
      </c>
      <c r="H64" s="140">
        <v>-9.7897382200044999E-3</v>
      </c>
      <c r="I64" s="140">
        <v>-9.7507176296253734E-3</v>
      </c>
    </row>
    <row r="65" spans="1:9" x14ac:dyDescent="0.25">
      <c r="A65">
        <v>260</v>
      </c>
      <c r="B65" t="s">
        <v>207</v>
      </c>
      <c r="C65" t="s">
        <v>167</v>
      </c>
      <c r="D65" t="s">
        <v>168</v>
      </c>
      <c r="E65" t="s">
        <v>59</v>
      </c>
      <c r="F65" t="s">
        <v>202</v>
      </c>
      <c r="G65" s="78" t="s">
        <v>873</v>
      </c>
      <c r="H65" s="140">
        <v>-1.23E-2</v>
      </c>
      <c r="I65" s="140">
        <v>-8.6E-3</v>
      </c>
    </row>
    <row r="66" spans="1:9" x14ac:dyDescent="0.25">
      <c r="A66">
        <v>318</v>
      </c>
      <c r="B66" t="s">
        <v>208</v>
      </c>
      <c r="C66" t="s">
        <v>167</v>
      </c>
      <c r="D66" t="s">
        <v>168</v>
      </c>
      <c r="E66" t="s">
        <v>59</v>
      </c>
      <c r="F66" t="s">
        <v>202</v>
      </c>
      <c r="G66" s="78" t="s">
        <v>872</v>
      </c>
      <c r="H66" s="140">
        <v>-1.0017791338428074E-2</v>
      </c>
      <c r="I66" s="140">
        <v>-9.6378127116420326E-3</v>
      </c>
    </row>
    <row r="67" spans="1:9" x14ac:dyDescent="0.25">
      <c r="A67">
        <v>758</v>
      </c>
      <c r="B67" t="s">
        <v>220</v>
      </c>
      <c r="C67" t="s">
        <v>167</v>
      </c>
      <c r="D67" t="s">
        <v>168</v>
      </c>
      <c r="E67" t="s">
        <v>59</v>
      </c>
      <c r="F67" t="s">
        <v>214</v>
      </c>
      <c r="G67" s="78" t="s">
        <v>875</v>
      </c>
      <c r="H67" s="140">
        <v>-5.6750999595385366E-3</v>
      </c>
      <c r="I67" s="140">
        <v>-5.4125167335802886E-3</v>
      </c>
    </row>
    <row r="68" spans="1:9" x14ac:dyDescent="0.25">
      <c r="A68">
        <v>143</v>
      </c>
      <c r="B68" t="s">
        <v>216</v>
      </c>
      <c r="C68" t="s">
        <v>167</v>
      </c>
      <c r="D68" t="s">
        <v>168</v>
      </c>
      <c r="E68" t="s">
        <v>59</v>
      </c>
      <c r="F68" t="s">
        <v>214</v>
      </c>
      <c r="G68" s="78" t="s">
        <v>875</v>
      </c>
      <c r="H68" s="140">
        <v>-6.8999999999999999E-3</v>
      </c>
      <c r="I68" s="140">
        <v>-1.01E-2</v>
      </c>
    </row>
    <row r="69" spans="1:9" x14ac:dyDescent="0.25">
      <c r="A69">
        <v>147</v>
      </c>
      <c r="B69" t="s">
        <v>217</v>
      </c>
      <c r="C69" t="s">
        <v>167</v>
      </c>
      <c r="D69" t="s">
        <v>168</v>
      </c>
      <c r="E69" t="s">
        <v>59</v>
      </c>
      <c r="F69" t="s">
        <v>214</v>
      </c>
      <c r="G69" s="78" t="s">
        <v>872</v>
      </c>
      <c r="H69" s="140">
        <v>-7.6E-3</v>
      </c>
      <c r="I69" s="140">
        <v>-9.5999999999999992E-3</v>
      </c>
    </row>
    <row r="70" spans="1:9" x14ac:dyDescent="0.25">
      <c r="A70">
        <v>320</v>
      </c>
      <c r="B70" t="s">
        <v>218</v>
      </c>
      <c r="C70" t="s">
        <v>167</v>
      </c>
      <c r="D70" t="s">
        <v>168</v>
      </c>
      <c r="E70" t="s">
        <v>59</v>
      </c>
      <c r="F70" t="s">
        <v>214</v>
      </c>
      <c r="G70" s="78" t="s">
        <v>872</v>
      </c>
      <c r="H70" s="140">
        <v>-7.9000000000000008E-3</v>
      </c>
      <c r="I70" s="140">
        <v>-6.1000000000000004E-3</v>
      </c>
    </row>
    <row r="71" spans="1:9" x14ac:dyDescent="0.25">
      <c r="A71">
        <v>114</v>
      </c>
      <c r="B71" t="s">
        <v>213</v>
      </c>
      <c r="C71" t="s">
        <v>167</v>
      </c>
      <c r="D71" t="s">
        <v>168</v>
      </c>
      <c r="E71" t="s">
        <v>59</v>
      </c>
      <c r="F71" t="s">
        <v>214</v>
      </c>
      <c r="G71" s="78" t="s">
        <v>872</v>
      </c>
      <c r="H71" s="140">
        <v>-9.1281378696165538E-3</v>
      </c>
      <c r="I71" s="140">
        <v>-9.0076155407937536E-3</v>
      </c>
    </row>
    <row r="72" spans="1:9" x14ac:dyDescent="0.25">
      <c r="A72">
        <v>141</v>
      </c>
      <c r="B72" t="s">
        <v>215</v>
      </c>
      <c r="C72" t="s">
        <v>167</v>
      </c>
      <c r="D72" t="s">
        <v>168</v>
      </c>
      <c r="E72" t="s">
        <v>59</v>
      </c>
      <c r="F72" t="s">
        <v>214</v>
      </c>
      <c r="G72" s="78" t="s">
        <v>875</v>
      </c>
      <c r="H72" s="140">
        <v>-5.7999999999999996E-3</v>
      </c>
      <c r="I72" s="140">
        <v>-7.4999999999999997E-3</v>
      </c>
    </row>
    <row r="73" spans="1:9" x14ac:dyDescent="0.25">
      <c r="A73">
        <v>639</v>
      </c>
      <c r="B73" t="s">
        <v>219</v>
      </c>
      <c r="C73" t="s">
        <v>167</v>
      </c>
      <c r="D73" t="s">
        <v>168</v>
      </c>
      <c r="E73" t="s">
        <v>59</v>
      </c>
      <c r="F73" t="s">
        <v>214</v>
      </c>
      <c r="G73" s="78" t="s">
        <v>872</v>
      </c>
      <c r="H73" s="140">
        <v>-3.9423358217571302E-3</v>
      </c>
      <c r="I73" s="140">
        <v>-4.4999999999999997E-3</v>
      </c>
    </row>
    <row r="74" spans="1:9" x14ac:dyDescent="0.25">
      <c r="A74">
        <v>1028</v>
      </c>
      <c r="B74" t="s">
        <v>221</v>
      </c>
      <c r="C74" t="s">
        <v>167</v>
      </c>
      <c r="D74" t="s">
        <v>168</v>
      </c>
      <c r="E74" t="s">
        <v>59</v>
      </c>
      <c r="F74" t="s">
        <v>214</v>
      </c>
      <c r="G74" s="78" t="s">
        <v>872</v>
      </c>
      <c r="H74" s="140">
        <v>-9.5999999999999992E-3</v>
      </c>
      <c r="I74" s="140">
        <v>-9.1000000000000004E-3</v>
      </c>
    </row>
    <row r="75" spans="1:9" x14ac:dyDescent="0.25">
      <c r="A75">
        <v>3033</v>
      </c>
      <c r="B75" t="s">
        <v>231</v>
      </c>
      <c r="C75" t="s">
        <v>66</v>
      </c>
      <c r="D75" t="s">
        <v>168</v>
      </c>
      <c r="E75" t="s">
        <v>59</v>
      </c>
      <c r="F75" t="s">
        <v>223</v>
      </c>
      <c r="G75" s="78" t="s">
        <v>875</v>
      </c>
      <c r="H75" s="140">
        <v>-4.0393255304110691E-3</v>
      </c>
      <c r="I75" s="140">
        <v>-3.4500000000000004E-3</v>
      </c>
    </row>
    <row r="76" spans="1:9" x14ac:dyDescent="0.25">
      <c r="A76">
        <v>3078</v>
      </c>
      <c r="B76" t="s">
        <v>224</v>
      </c>
      <c r="C76" t="s">
        <v>66</v>
      </c>
      <c r="D76" t="s">
        <v>168</v>
      </c>
      <c r="E76" t="s">
        <v>59</v>
      </c>
      <c r="F76" t="s">
        <v>223</v>
      </c>
      <c r="G76" s="78" t="s">
        <v>875</v>
      </c>
      <c r="H76" s="140">
        <v>-3.4388673944513387E-3</v>
      </c>
      <c r="I76" s="140">
        <v>-3.4500000000000004E-3</v>
      </c>
    </row>
    <row r="77" spans="1:9" x14ac:dyDescent="0.25">
      <c r="A77">
        <v>3095</v>
      </c>
      <c r="B77" t="s">
        <v>229</v>
      </c>
      <c r="C77" t="s">
        <v>66</v>
      </c>
      <c r="D77" t="s">
        <v>168</v>
      </c>
      <c r="E77" t="s">
        <v>59</v>
      </c>
      <c r="F77" t="s">
        <v>223</v>
      </c>
      <c r="G77" s="78" t="s">
        <v>875</v>
      </c>
      <c r="H77" s="140">
        <v>-1.4434223796533734E-3</v>
      </c>
      <c r="I77" s="140">
        <v>-3.4500000000000004E-3</v>
      </c>
    </row>
    <row r="78" spans="1:9" x14ac:dyDescent="0.25">
      <c r="A78">
        <v>310</v>
      </c>
      <c r="B78" t="s">
        <v>228</v>
      </c>
      <c r="C78" t="s">
        <v>167</v>
      </c>
      <c r="D78" t="s">
        <v>168</v>
      </c>
      <c r="E78" t="s">
        <v>59</v>
      </c>
      <c r="F78" t="s">
        <v>223</v>
      </c>
      <c r="G78" s="78" t="s">
        <v>872</v>
      </c>
      <c r="H78" s="140">
        <v>-6.6E-3</v>
      </c>
      <c r="I78" s="140">
        <v>-5.3E-3</v>
      </c>
    </row>
    <row r="79" spans="1:9" x14ac:dyDescent="0.25">
      <c r="A79">
        <v>1110</v>
      </c>
      <c r="B79" t="s">
        <v>230</v>
      </c>
      <c r="C79" t="s">
        <v>167</v>
      </c>
      <c r="D79" t="s">
        <v>168</v>
      </c>
      <c r="E79" t="s">
        <v>59</v>
      </c>
      <c r="F79" t="s">
        <v>223</v>
      </c>
      <c r="G79" s="78" t="s">
        <v>872</v>
      </c>
      <c r="H79" s="140">
        <v>-9.7999999999999997E-3</v>
      </c>
      <c r="I79" s="140">
        <v>-8.3999999999999995E-3</v>
      </c>
    </row>
    <row r="80" spans="1:9" x14ac:dyDescent="0.25">
      <c r="A80">
        <v>83</v>
      </c>
      <c r="B80" t="s">
        <v>225</v>
      </c>
      <c r="C80" t="s">
        <v>167</v>
      </c>
      <c r="D80" t="s">
        <v>168</v>
      </c>
      <c r="E80" t="s">
        <v>59</v>
      </c>
      <c r="F80" t="s">
        <v>223</v>
      </c>
      <c r="G80" s="78" t="s">
        <v>872</v>
      </c>
      <c r="H80" s="140">
        <v>-8.3999999999999995E-3</v>
      </c>
      <c r="I80" s="140">
        <v>-7.7999999999999996E-3</v>
      </c>
    </row>
    <row r="81" spans="1:9" x14ac:dyDescent="0.25">
      <c r="A81">
        <v>80</v>
      </c>
      <c r="B81" t="s">
        <v>222</v>
      </c>
      <c r="C81" t="s">
        <v>167</v>
      </c>
      <c r="D81" t="s">
        <v>168</v>
      </c>
      <c r="E81" t="s">
        <v>59</v>
      </c>
      <c r="F81" t="s">
        <v>223</v>
      </c>
      <c r="G81" s="78" t="s">
        <v>872</v>
      </c>
      <c r="H81" s="140">
        <v>-1.06E-2</v>
      </c>
      <c r="I81" s="140">
        <v>-1.01E-2</v>
      </c>
    </row>
    <row r="82" spans="1:9" x14ac:dyDescent="0.25">
      <c r="A82">
        <v>81</v>
      </c>
      <c r="B82" t="s">
        <v>224</v>
      </c>
      <c r="C82" t="s">
        <v>167</v>
      </c>
      <c r="D82" t="s">
        <v>168</v>
      </c>
      <c r="E82" t="s">
        <v>59</v>
      </c>
      <c r="F82" t="s">
        <v>223</v>
      </c>
      <c r="G82" s="78" t="s">
        <v>873</v>
      </c>
      <c r="H82" s="140">
        <v>-1.5599999999999999E-2</v>
      </c>
      <c r="I82" s="140">
        <v>-9.1999999999999998E-3</v>
      </c>
    </row>
    <row r="83" spans="1:9" x14ac:dyDescent="0.25">
      <c r="A83">
        <v>98</v>
      </c>
      <c r="B83" t="s">
        <v>226</v>
      </c>
      <c r="C83" t="s">
        <v>167</v>
      </c>
      <c r="D83" t="s">
        <v>168</v>
      </c>
      <c r="E83" t="s">
        <v>59</v>
      </c>
      <c r="F83" t="s">
        <v>223</v>
      </c>
      <c r="G83" s="78" t="s">
        <v>872</v>
      </c>
      <c r="H83" s="140">
        <v>-8.902701490743287E-3</v>
      </c>
      <c r="I83" s="140">
        <v>-8.7710533213046071E-3</v>
      </c>
    </row>
    <row r="84" spans="1:9" x14ac:dyDescent="0.25">
      <c r="A84">
        <v>99</v>
      </c>
      <c r="B84" t="s">
        <v>227</v>
      </c>
      <c r="C84" t="s">
        <v>167</v>
      </c>
      <c r="D84" t="s">
        <v>168</v>
      </c>
      <c r="E84" t="s">
        <v>59</v>
      </c>
      <c r="F84" t="s">
        <v>223</v>
      </c>
      <c r="G84" s="78" t="s">
        <v>873</v>
      </c>
      <c r="H84" s="140">
        <v>-1.38E-2</v>
      </c>
      <c r="I84" s="140">
        <v>-8.9999999999999993E-3</v>
      </c>
    </row>
    <row r="85" spans="1:9" x14ac:dyDescent="0.25">
      <c r="A85">
        <v>341</v>
      </c>
      <c r="B85" t="s">
        <v>229</v>
      </c>
      <c r="C85" t="s">
        <v>167</v>
      </c>
      <c r="D85" t="s">
        <v>168</v>
      </c>
      <c r="E85" t="s">
        <v>59</v>
      </c>
      <c r="F85" t="s">
        <v>223</v>
      </c>
      <c r="G85" s="78" t="s">
        <v>872</v>
      </c>
      <c r="H85" s="140">
        <v>-6.8709199366295739E-3</v>
      </c>
      <c r="I85" s="140">
        <v>-7.3848073928092766E-3</v>
      </c>
    </row>
    <row r="86" spans="1:9" x14ac:dyDescent="0.25">
      <c r="A86">
        <v>3051</v>
      </c>
      <c r="B86" t="s">
        <v>157</v>
      </c>
      <c r="C86" t="s">
        <v>66</v>
      </c>
      <c r="D86" t="s">
        <v>168</v>
      </c>
      <c r="E86" t="s">
        <v>59</v>
      </c>
      <c r="F86" t="s">
        <v>197</v>
      </c>
      <c r="G86" s="78" t="s">
        <v>875</v>
      </c>
      <c r="H86" s="140">
        <v>-3.598395032459577E-3</v>
      </c>
      <c r="I86" s="140">
        <v>-3.9499999999999995E-3</v>
      </c>
    </row>
    <row r="87" spans="1:9" x14ac:dyDescent="0.25">
      <c r="A87">
        <v>275</v>
      </c>
      <c r="B87" t="s">
        <v>235</v>
      </c>
      <c r="C87" t="s">
        <v>167</v>
      </c>
      <c r="D87" t="s">
        <v>168</v>
      </c>
      <c r="E87" t="s">
        <v>59</v>
      </c>
      <c r="F87" t="s">
        <v>197</v>
      </c>
      <c r="G87" s="78" t="s">
        <v>875</v>
      </c>
      <c r="H87" s="140">
        <v>-8.3827917958273108E-3</v>
      </c>
      <c r="I87" s="140">
        <v>-7.7999999999999996E-3</v>
      </c>
    </row>
    <row r="88" spans="1:9" x14ac:dyDescent="0.25">
      <c r="A88">
        <v>1184</v>
      </c>
      <c r="B88" t="s">
        <v>241</v>
      </c>
      <c r="C88" t="s">
        <v>167</v>
      </c>
      <c r="D88" t="s">
        <v>168</v>
      </c>
      <c r="E88" t="s">
        <v>59</v>
      </c>
      <c r="F88" t="s">
        <v>197</v>
      </c>
      <c r="G88" s="78" t="s">
        <v>874</v>
      </c>
      <c r="H88" s="140">
        <v>0</v>
      </c>
      <c r="I88" s="140">
        <v>-8.6E-3</v>
      </c>
    </row>
    <row r="89" spans="1:9" x14ac:dyDescent="0.25">
      <c r="A89">
        <v>3113</v>
      </c>
      <c r="B89" t="s">
        <v>242</v>
      </c>
      <c r="C89" t="s">
        <v>66</v>
      </c>
      <c r="D89" t="s">
        <v>168</v>
      </c>
      <c r="E89" t="s">
        <v>59</v>
      </c>
      <c r="F89" t="s">
        <v>197</v>
      </c>
      <c r="G89" s="78" t="s">
        <v>874</v>
      </c>
      <c r="H89" s="140" t="s">
        <v>876</v>
      </c>
      <c r="I89" s="140">
        <v>-4.45E-3</v>
      </c>
    </row>
    <row r="90" spans="1:9" x14ac:dyDescent="0.25">
      <c r="A90">
        <v>198</v>
      </c>
      <c r="B90" t="s">
        <v>232</v>
      </c>
      <c r="C90" t="s">
        <v>167</v>
      </c>
      <c r="D90" t="s">
        <v>168</v>
      </c>
      <c r="E90" t="s">
        <v>59</v>
      </c>
      <c r="F90" t="s">
        <v>197</v>
      </c>
      <c r="G90" s="78" t="s">
        <v>873</v>
      </c>
      <c r="H90" s="140">
        <v>-1.313720346394555E-2</v>
      </c>
      <c r="I90" s="140">
        <v>-1.2739924531770173E-2</v>
      </c>
    </row>
    <row r="91" spans="1:9" x14ac:dyDescent="0.25">
      <c r="A91">
        <v>208</v>
      </c>
      <c r="B91" t="s">
        <v>233</v>
      </c>
      <c r="C91" t="s">
        <v>167</v>
      </c>
      <c r="D91" t="s">
        <v>168</v>
      </c>
      <c r="E91" t="s">
        <v>59</v>
      </c>
      <c r="F91" t="s">
        <v>197</v>
      </c>
      <c r="G91" s="78" t="s">
        <v>873</v>
      </c>
      <c r="H91" s="140">
        <v>-2.0400000000000001E-2</v>
      </c>
      <c r="I91" s="140">
        <v>-1.12E-2</v>
      </c>
    </row>
    <row r="92" spans="1:9" x14ac:dyDescent="0.25">
      <c r="A92">
        <v>217</v>
      </c>
      <c r="B92" t="s">
        <v>234</v>
      </c>
      <c r="C92" t="s">
        <v>167</v>
      </c>
      <c r="D92" t="s">
        <v>168</v>
      </c>
      <c r="E92" t="s">
        <v>59</v>
      </c>
      <c r="F92" t="s">
        <v>197</v>
      </c>
      <c r="G92" s="78" t="s">
        <v>875</v>
      </c>
      <c r="H92" s="140">
        <v>-8.0999999999999996E-3</v>
      </c>
      <c r="I92" s="140">
        <v>-9.1000000000000004E-3</v>
      </c>
    </row>
    <row r="93" spans="1:9" x14ac:dyDescent="0.25">
      <c r="A93">
        <v>722</v>
      </c>
      <c r="B93" t="s">
        <v>237</v>
      </c>
      <c r="C93" t="s">
        <v>167</v>
      </c>
      <c r="D93" t="s">
        <v>168</v>
      </c>
      <c r="E93" t="s">
        <v>59</v>
      </c>
      <c r="F93" t="s">
        <v>197</v>
      </c>
      <c r="G93" s="78" t="s">
        <v>873</v>
      </c>
      <c r="H93" s="140">
        <v>-9.9225171778892073E-3</v>
      </c>
      <c r="I93" s="140">
        <v>-9.730700352013762E-3</v>
      </c>
    </row>
    <row r="94" spans="1:9" x14ac:dyDescent="0.25">
      <c r="A94">
        <v>1024</v>
      </c>
      <c r="B94" t="s">
        <v>239</v>
      </c>
      <c r="C94" t="s">
        <v>167</v>
      </c>
      <c r="D94" t="s">
        <v>168</v>
      </c>
      <c r="E94" t="s">
        <v>59</v>
      </c>
      <c r="F94" t="s">
        <v>197</v>
      </c>
      <c r="G94" s="78" t="s">
        <v>872</v>
      </c>
      <c r="H94" s="140">
        <v>-1.4800000000000001E-2</v>
      </c>
      <c r="I94" s="140">
        <v>-5.4999999999999997E-3</v>
      </c>
    </row>
    <row r="95" spans="1:9" x14ac:dyDescent="0.25">
      <c r="A95">
        <v>201</v>
      </c>
      <c r="B95" t="s">
        <v>157</v>
      </c>
      <c r="C95" t="s">
        <v>167</v>
      </c>
      <c r="D95" t="s">
        <v>168</v>
      </c>
      <c r="E95" t="s">
        <v>59</v>
      </c>
      <c r="F95" t="s">
        <v>197</v>
      </c>
      <c r="G95" s="78" t="s">
        <v>873</v>
      </c>
      <c r="H95" s="140">
        <v>-9.9260280071597068E-3</v>
      </c>
      <c r="I95" s="140">
        <v>-9.6597447737188629E-3</v>
      </c>
    </row>
    <row r="96" spans="1:9" x14ac:dyDescent="0.25">
      <c r="A96">
        <v>209</v>
      </c>
      <c r="B96" t="s">
        <v>197</v>
      </c>
      <c r="C96" t="s">
        <v>167</v>
      </c>
      <c r="D96" t="s">
        <v>168</v>
      </c>
      <c r="E96" t="s">
        <v>59</v>
      </c>
      <c r="F96" t="s">
        <v>197</v>
      </c>
      <c r="G96" s="78" t="s">
        <v>872</v>
      </c>
      <c r="H96" s="140">
        <v>-7.4999999999999997E-3</v>
      </c>
      <c r="I96" s="140">
        <v>-8.8999999999999999E-3</v>
      </c>
    </row>
    <row r="97" spans="1:9" x14ac:dyDescent="0.25">
      <c r="A97">
        <v>633</v>
      </c>
      <c r="B97" t="s">
        <v>236</v>
      </c>
      <c r="C97" t="s">
        <v>167</v>
      </c>
      <c r="D97" t="s">
        <v>168</v>
      </c>
      <c r="E97" t="s">
        <v>59</v>
      </c>
      <c r="F97" t="s">
        <v>197</v>
      </c>
      <c r="G97" s="78" t="s">
        <v>872</v>
      </c>
      <c r="H97" s="140">
        <v>-1.21E-2</v>
      </c>
      <c r="I97" s="140">
        <v>-6.7999999999999996E-3</v>
      </c>
    </row>
    <row r="98" spans="1:9" x14ac:dyDescent="0.25">
      <c r="A98">
        <v>1018</v>
      </c>
      <c r="B98" t="s">
        <v>238</v>
      </c>
      <c r="C98" t="s">
        <v>167</v>
      </c>
      <c r="D98" t="s">
        <v>168</v>
      </c>
      <c r="E98" t="s">
        <v>59</v>
      </c>
      <c r="F98" t="s">
        <v>197</v>
      </c>
      <c r="G98" s="78" t="s">
        <v>872</v>
      </c>
      <c r="H98" s="140">
        <v>-2.6718290268330168E-3</v>
      </c>
      <c r="I98" s="140">
        <v>-4.4999999999999997E-3</v>
      </c>
    </row>
    <row r="99" spans="1:9" x14ac:dyDescent="0.25">
      <c r="A99">
        <v>1066</v>
      </c>
      <c r="B99" t="s">
        <v>240</v>
      </c>
      <c r="C99" t="s">
        <v>167</v>
      </c>
      <c r="D99" t="s">
        <v>168</v>
      </c>
      <c r="E99" t="s">
        <v>59</v>
      </c>
      <c r="F99" t="s">
        <v>197</v>
      </c>
      <c r="G99" s="78" t="s">
        <v>873</v>
      </c>
      <c r="H99" s="140">
        <v>-8.2000000000000007E-3</v>
      </c>
      <c r="I99" s="140">
        <v>-4.7999999999999996E-3</v>
      </c>
    </row>
    <row r="100" spans="1:9" x14ac:dyDescent="0.25">
      <c r="A100">
        <v>3032</v>
      </c>
      <c r="B100" t="s">
        <v>249</v>
      </c>
      <c r="C100" t="s">
        <v>66</v>
      </c>
      <c r="D100" t="s">
        <v>168</v>
      </c>
      <c r="E100" t="s">
        <v>59</v>
      </c>
      <c r="F100" t="s">
        <v>244</v>
      </c>
      <c r="G100" s="78" t="s">
        <v>875</v>
      </c>
      <c r="H100" s="140">
        <v>-1.5775305609170515E-3</v>
      </c>
      <c r="I100" s="140">
        <v>-3.4500000000000004E-3</v>
      </c>
    </row>
    <row r="101" spans="1:9" x14ac:dyDescent="0.25">
      <c r="A101">
        <v>3035</v>
      </c>
      <c r="B101" t="s">
        <v>244</v>
      </c>
      <c r="C101" t="s">
        <v>66</v>
      </c>
      <c r="D101" t="s">
        <v>168</v>
      </c>
      <c r="E101" t="s">
        <v>59</v>
      </c>
      <c r="F101" t="s">
        <v>244</v>
      </c>
      <c r="G101" s="78" t="s">
        <v>875</v>
      </c>
      <c r="H101" s="140">
        <v>-2.6810862055169347E-3</v>
      </c>
      <c r="I101" s="140">
        <v>-3.4500000000000004E-3</v>
      </c>
    </row>
    <row r="102" spans="1:9" x14ac:dyDescent="0.25">
      <c r="A102">
        <v>3053</v>
      </c>
      <c r="B102" t="s">
        <v>247</v>
      </c>
      <c r="C102" t="s">
        <v>66</v>
      </c>
      <c r="D102" t="s">
        <v>168</v>
      </c>
      <c r="E102" t="s">
        <v>59</v>
      </c>
      <c r="F102" t="s">
        <v>244</v>
      </c>
      <c r="G102" s="78" t="s">
        <v>873</v>
      </c>
      <c r="H102" s="140">
        <v>-6.5395344069956937E-3</v>
      </c>
      <c r="I102" s="140">
        <v>-6.6499999999999997E-3</v>
      </c>
    </row>
    <row r="103" spans="1:9" x14ac:dyDescent="0.25">
      <c r="A103">
        <v>102</v>
      </c>
      <c r="B103" t="s">
        <v>243</v>
      </c>
      <c r="C103" t="s">
        <v>167</v>
      </c>
      <c r="D103" t="s">
        <v>168</v>
      </c>
      <c r="E103" t="s">
        <v>59</v>
      </c>
      <c r="F103" t="s">
        <v>244</v>
      </c>
      <c r="G103" s="78" t="s">
        <v>872</v>
      </c>
      <c r="H103" s="140">
        <v>-5.7000000000000002E-3</v>
      </c>
      <c r="I103" s="140">
        <v>-5.4000000000000003E-3</v>
      </c>
    </row>
    <row r="104" spans="1:9" x14ac:dyDescent="0.25">
      <c r="A104">
        <v>247</v>
      </c>
      <c r="B104" t="s">
        <v>247</v>
      </c>
      <c r="C104" t="s">
        <v>167</v>
      </c>
      <c r="D104" t="s">
        <v>168</v>
      </c>
      <c r="E104" t="s">
        <v>59</v>
      </c>
      <c r="F104" t="s">
        <v>244</v>
      </c>
      <c r="G104" s="78" t="s">
        <v>875</v>
      </c>
      <c r="H104" s="140">
        <v>-6.6552214969255218E-3</v>
      </c>
      <c r="I104" s="140">
        <v>-6.2800760104843104E-3</v>
      </c>
    </row>
    <row r="105" spans="1:9" x14ac:dyDescent="0.25">
      <c r="A105">
        <v>447</v>
      </c>
      <c r="B105" t="s">
        <v>244</v>
      </c>
      <c r="C105" t="s">
        <v>167</v>
      </c>
      <c r="D105" t="s">
        <v>168</v>
      </c>
      <c r="E105" t="s">
        <v>59</v>
      </c>
      <c r="F105" t="s">
        <v>244</v>
      </c>
      <c r="G105" s="78" t="s">
        <v>875</v>
      </c>
      <c r="H105" s="140">
        <v>-3.807542947709238E-3</v>
      </c>
      <c r="I105" s="140">
        <v>-4.4999999999999997E-3</v>
      </c>
    </row>
    <row r="106" spans="1:9" x14ac:dyDescent="0.25">
      <c r="A106">
        <v>145</v>
      </c>
      <c r="B106" t="s">
        <v>246</v>
      </c>
      <c r="C106" t="s">
        <v>167</v>
      </c>
      <c r="D106" t="s">
        <v>168</v>
      </c>
      <c r="E106" t="s">
        <v>59</v>
      </c>
      <c r="F106" t="s">
        <v>244</v>
      </c>
      <c r="G106" s="78" t="s">
        <v>872</v>
      </c>
      <c r="H106" s="140">
        <v>-9.7000000000000003E-3</v>
      </c>
      <c r="I106" s="140">
        <v>-8.3999999999999995E-3</v>
      </c>
    </row>
    <row r="107" spans="1:9" x14ac:dyDescent="0.25">
      <c r="A107">
        <v>128</v>
      </c>
      <c r="B107" t="s">
        <v>245</v>
      </c>
      <c r="C107" t="s">
        <v>167</v>
      </c>
      <c r="D107" t="s">
        <v>168</v>
      </c>
      <c r="E107" t="s">
        <v>59</v>
      </c>
      <c r="F107" t="s">
        <v>244</v>
      </c>
      <c r="G107" s="78" t="s">
        <v>872</v>
      </c>
      <c r="H107" s="140">
        <v>-5.3E-3</v>
      </c>
      <c r="I107" s="140">
        <v>-6.4000000000000003E-3</v>
      </c>
    </row>
    <row r="108" spans="1:9" x14ac:dyDescent="0.25">
      <c r="A108">
        <v>383</v>
      </c>
      <c r="B108" t="s">
        <v>248</v>
      </c>
      <c r="C108" t="s">
        <v>167</v>
      </c>
      <c r="D108" t="s">
        <v>168</v>
      </c>
      <c r="E108" t="s">
        <v>59</v>
      </c>
      <c r="F108" t="s">
        <v>244</v>
      </c>
      <c r="G108" s="78" t="s">
        <v>872</v>
      </c>
      <c r="H108" s="140">
        <v>-3.2704564590877467E-3</v>
      </c>
      <c r="I108" s="140">
        <v>-4.4999999999999997E-3</v>
      </c>
    </row>
    <row r="109" spans="1:9" x14ac:dyDescent="0.25">
      <c r="A109">
        <v>448</v>
      </c>
      <c r="B109" t="s">
        <v>249</v>
      </c>
      <c r="C109" t="s">
        <v>167</v>
      </c>
      <c r="D109" t="s">
        <v>168</v>
      </c>
      <c r="E109" t="s">
        <v>59</v>
      </c>
      <c r="F109" t="s">
        <v>244</v>
      </c>
      <c r="G109" s="78" t="s">
        <v>872</v>
      </c>
      <c r="H109" s="140">
        <v>-5.591234289585168E-3</v>
      </c>
      <c r="I109" s="140">
        <v>-5.3689038953968378E-3</v>
      </c>
    </row>
    <row r="110" spans="1:9" x14ac:dyDescent="0.25">
      <c r="A110">
        <v>645</v>
      </c>
      <c r="B110" t="s">
        <v>250</v>
      </c>
      <c r="C110" t="s">
        <v>167</v>
      </c>
      <c r="D110" t="s">
        <v>168</v>
      </c>
      <c r="E110" t="s">
        <v>59</v>
      </c>
      <c r="F110" t="s">
        <v>244</v>
      </c>
      <c r="G110" s="78" t="s">
        <v>875</v>
      </c>
      <c r="H110" s="140">
        <v>-2.2000000000000001E-3</v>
      </c>
      <c r="I110" s="140">
        <v>-3.8999999999999998E-3</v>
      </c>
    </row>
    <row r="111" spans="1:9" x14ac:dyDescent="0.25">
      <c r="A111">
        <v>646</v>
      </c>
      <c r="B111" t="s">
        <v>251</v>
      </c>
      <c r="C111" t="s">
        <v>167</v>
      </c>
      <c r="D111" t="s">
        <v>168</v>
      </c>
      <c r="E111" t="s">
        <v>59</v>
      </c>
      <c r="F111" t="s">
        <v>244</v>
      </c>
      <c r="G111" s="78" t="s">
        <v>875</v>
      </c>
      <c r="H111" s="140">
        <v>-2.5999999999999999E-3</v>
      </c>
      <c r="I111" s="140">
        <v>-5.7999999999999996E-3</v>
      </c>
    </row>
    <row r="112" spans="1:9" x14ac:dyDescent="0.25">
      <c r="A112">
        <v>1093</v>
      </c>
      <c r="B112" t="s">
        <v>252</v>
      </c>
      <c r="C112" t="s">
        <v>167</v>
      </c>
      <c r="D112" t="s">
        <v>168</v>
      </c>
      <c r="E112" t="s">
        <v>59</v>
      </c>
      <c r="F112" t="s">
        <v>244</v>
      </c>
      <c r="G112" s="78" t="s">
        <v>872</v>
      </c>
      <c r="H112" s="140">
        <v>-9.3386669734593572E-3</v>
      </c>
      <c r="I112" s="140">
        <v>-9.1832741271332449E-3</v>
      </c>
    </row>
    <row r="113" spans="1:9" x14ac:dyDescent="0.25">
      <c r="A113">
        <v>3019</v>
      </c>
      <c r="B113" t="s">
        <v>263</v>
      </c>
      <c r="C113" t="s">
        <v>66</v>
      </c>
      <c r="D113" t="s">
        <v>63</v>
      </c>
      <c r="E113" t="s">
        <v>62</v>
      </c>
      <c r="F113" t="s">
        <v>254</v>
      </c>
      <c r="G113" s="78" t="s">
        <v>875</v>
      </c>
      <c r="H113" s="140">
        <v>-3.0535159538880759E-3</v>
      </c>
      <c r="I113" s="140">
        <v>-4.5499999999999994E-3</v>
      </c>
    </row>
    <row r="114" spans="1:9" x14ac:dyDescent="0.25">
      <c r="A114">
        <v>3018</v>
      </c>
      <c r="B114" t="s">
        <v>264</v>
      </c>
      <c r="C114" t="s">
        <v>66</v>
      </c>
      <c r="D114" t="s">
        <v>63</v>
      </c>
      <c r="E114" t="s">
        <v>62</v>
      </c>
      <c r="F114" t="s">
        <v>254</v>
      </c>
      <c r="G114" s="78" t="s">
        <v>873</v>
      </c>
      <c r="H114" s="140">
        <v>-8.4814672312693035E-3</v>
      </c>
      <c r="I114" s="140">
        <v>-7.4500000000000009E-3</v>
      </c>
    </row>
    <row r="115" spans="1:9" x14ac:dyDescent="0.25">
      <c r="A115">
        <v>293</v>
      </c>
      <c r="B115" t="s">
        <v>257</v>
      </c>
      <c r="C115" t="s">
        <v>167</v>
      </c>
      <c r="D115" t="s">
        <v>63</v>
      </c>
      <c r="E115" t="s">
        <v>62</v>
      </c>
      <c r="F115" t="s">
        <v>254</v>
      </c>
      <c r="G115" s="78" t="s">
        <v>875</v>
      </c>
      <c r="H115" s="140">
        <v>-6.0380002488948595E-3</v>
      </c>
      <c r="I115" s="140">
        <v>-5.5999999999999999E-3</v>
      </c>
    </row>
    <row r="116" spans="1:9" x14ac:dyDescent="0.25">
      <c r="A116">
        <v>311</v>
      </c>
      <c r="B116" t="s">
        <v>258</v>
      </c>
      <c r="C116" t="s">
        <v>167</v>
      </c>
      <c r="D116" t="s">
        <v>63</v>
      </c>
      <c r="E116" t="s">
        <v>62</v>
      </c>
      <c r="F116" t="s">
        <v>254</v>
      </c>
      <c r="G116" s="78" t="s">
        <v>875</v>
      </c>
      <c r="H116" s="140">
        <v>-5.9005977481275404E-3</v>
      </c>
      <c r="I116" s="140">
        <v>-5.4669098331129023E-3</v>
      </c>
    </row>
    <row r="117" spans="1:9" x14ac:dyDescent="0.25">
      <c r="A117">
        <v>1149</v>
      </c>
      <c r="B117" t="s">
        <v>879</v>
      </c>
      <c r="C117" t="s">
        <v>167</v>
      </c>
      <c r="D117" t="s">
        <v>63</v>
      </c>
      <c r="E117" t="s">
        <v>62</v>
      </c>
      <c r="F117" t="s">
        <v>254</v>
      </c>
      <c r="G117" s="78" t="s">
        <v>874</v>
      </c>
      <c r="H117" s="140" t="s">
        <v>876</v>
      </c>
      <c r="I117" s="140"/>
    </row>
    <row r="118" spans="1:9" x14ac:dyDescent="0.25">
      <c r="A118">
        <v>3061</v>
      </c>
      <c r="B118" t="s">
        <v>265</v>
      </c>
      <c r="C118" t="s">
        <v>66</v>
      </c>
      <c r="D118" t="s">
        <v>63</v>
      </c>
      <c r="E118" t="s">
        <v>62</v>
      </c>
      <c r="F118" t="s">
        <v>254</v>
      </c>
      <c r="G118" s="78" t="s">
        <v>872</v>
      </c>
      <c r="H118" s="140">
        <v>-5.821081342932099E-3</v>
      </c>
      <c r="I118" s="140">
        <v>-5.6600000000000001E-3</v>
      </c>
    </row>
    <row r="119" spans="1:9" x14ac:dyDescent="0.25">
      <c r="A119">
        <v>50</v>
      </c>
      <c r="B119" t="s">
        <v>253</v>
      </c>
      <c r="C119" t="s">
        <v>167</v>
      </c>
      <c r="D119" t="s">
        <v>63</v>
      </c>
      <c r="E119" t="s">
        <v>62</v>
      </c>
      <c r="F119" t="s">
        <v>254</v>
      </c>
      <c r="G119" s="78" t="s">
        <v>875</v>
      </c>
      <c r="H119" s="140">
        <v>-4.1000000000000003E-3</v>
      </c>
      <c r="I119" s="140">
        <v>-6.0000000000000001E-3</v>
      </c>
    </row>
    <row r="120" spans="1:9" x14ac:dyDescent="0.25">
      <c r="A120">
        <v>266</v>
      </c>
      <c r="B120" t="s">
        <v>255</v>
      </c>
      <c r="C120" t="s">
        <v>167</v>
      </c>
      <c r="D120" t="s">
        <v>63</v>
      </c>
      <c r="E120" t="s">
        <v>62</v>
      </c>
      <c r="F120" t="s">
        <v>254</v>
      </c>
      <c r="G120" s="78" t="s">
        <v>875</v>
      </c>
      <c r="H120" s="140">
        <v>-1.04E-2</v>
      </c>
      <c r="I120" s="140">
        <v>-1.09E-2</v>
      </c>
    </row>
    <row r="121" spans="1:9" x14ac:dyDescent="0.25">
      <c r="A121">
        <v>267</v>
      </c>
      <c r="B121" t="s">
        <v>256</v>
      </c>
      <c r="C121" t="s">
        <v>167</v>
      </c>
      <c r="D121" t="s">
        <v>63</v>
      </c>
      <c r="E121" t="s">
        <v>62</v>
      </c>
      <c r="F121" t="s">
        <v>254</v>
      </c>
      <c r="G121" s="78" t="s">
        <v>873</v>
      </c>
      <c r="H121" s="140">
        <v>-1.0849525079468927E-2</v>
      </c>
      <c r="I121" s="140">
        <v>-1.091735586543514E-2</v>
      </c>
    </row>
    <row r="122" spans="1:9" x14ac:dyDescent="0.25">
      <c r="A122">
        <v>437</v>
      </c>
      <c r="B122" t="s">
        <v>260</v>
      </c>
      <c r="C122" t="s">
        <v>167</v>
      </c>
      <c r="D122" t="s">
        <v>63</v>
      </c>
      <c r="E122" t="s">
        <v>62</v>
      </c>
      <c r="F122" t="s">
        <v>254</v>
      </c>
      <c r="G122" s="78" t="s">
        <v>872</v>
      </c>
      <c r="H122" s="140">
        <v>-8.6999999999999994E-3</v>
      </c>
      <c r="I122" s="140">
        <v>-7.6E-3</v>
      </c>
    </row>
    <row r="123" spans="1:9" s="31" customFormat="1" x14ac:dyDescent="0.25">
      <c r="A123" s="31">
        <v>476</v>
      </c>
      <c r="B123" s="31" t="s">
        <v>262</v>
      </c>
      <c r="C123" s="31" t="s">
        <v>167</v>
      </c>
      <c r="D123" s="31" t="s">
        <v>63</v>
      </c>
      <c r="E123" s="31" t="s">
        <v>62</v>
      </c>
      <c r="F123" s="31" t="s">
        <v>254</v>
      </c>
      <c r="G123" s="78" t="s">
        <v>872</v>
      </c>
      <c r="H123" s="140">
        <v>-7.1999999999999998E-3</v>
      </c>
      <c r="I123" s="140">
        <v>-8.6999999999999994E-3</v>
      </c>
    </row>
    <row r="124" spans="1:9" x14ac:dyDescent="0.25">
      <c r="A124">
        <v>681</v>
      </c>
      <c r="B124" t="s">
        <v>263</v>
      </c>
      <c r="C124" t="s">
        <v>167</v>
      </c>
      <c r="D124" t="s">
        <v>63</v>
      </c>
      <c r="E124" t="s">
        <v>62</v>
      </c>
      <c r="F124" t="s">
        <v>254</v>
      </c>
      <c r="G124" s="78" t="s">
        <v>875</v>
      </c>
      <c r="H124" s="140">
        <v>-5.1000000000000004E-3</v>
      </c>
      <c r="I124" s="140">
        <v>-9.2999999999999992E-3</v>
      </c>
    </row>
    <row r="125" spans="1:9" x14ac:dyDescent="0.25">
      <c r="A125">
        <v>412</v>
      </c>
      <c r="B125" t="s">
        <v>259</v>
      </c>
      <c r="C125" t="s">
        <v>167</v>
      </c>
      <c r="D125" t="s">
        <v>63</v>
      </c>
      <c r="E125" t="s">
        <v>62</v>
      </c>
      <c r="F125" t="s">
        <v>254</v>
      </c>
      <c r="G125" s="78" t="s">
        <v>872</v>
      </c>
      <c r="H125" s="140">
        <v>-1.1021407108428222E-2</v>
      </c>
      <c r="I125" s="140">
        <v>-1.0886221192424246E-2</v>
      </c>
    </row>
    <row r="126" spans="1:9" x14ac:dyDescent="0.25">
      <c r="A126">
        <v>456</v>
      </c>
      <c r="B126" t="s">
        <v>261</v>
      </c>
      <c r="C126" t="s">
        <v>167</v>
      </c>
      <c r="D126" t="s">
        <v>63</v>
      </c>
      <c r="E126" t="s">
        <v>62</v>
      </c>
      <c r="F126" t="s">
        <v>254</v>
      </c>
      <c r="G126" s="78" t="s">
        <v>872</v>
      </c>
      <c r="H126" s="140">
        <v>-6.0000000000000001E-3</v>
      </c>
      <c r="I126" s="140">
        <v>-7.1999999999999998E-3</v>
      </c>
    </row>
    <row r="127" spans="1:9" x14ac:dyDescent="0.25">
      <c r="A127">
        <v>3016</v>
      </c>
      <c r="B127" t="s">
        <v>273</v>
      </c>
      <c r="C127" t="s">
        <v>66</v>
      </c>
      <c r="D127" t="s">
        <v>63</v>
      </c>
      <c r="E127" t="s">
        <v>62</v>
      </c>
      <c r="F127" t="s">
        <v>267</v>
      </c>
      <c r="G127" s="78" t="s">
        <v>875</v>
      </c>
      <c r="H127" s="140">
        <v>-2.5142618952837341E-3</v>
      </c>
      <c r="I127" s="140">
        <v>-3.5055052756658048E-3</v>
      </c>
    </row>
    <row r="128" spans="1:9" x14ac:dyDescent="0.25">
      <c r="A128">
        <v>3017</v>
      </c>
      <c r="B128" t="s">
        <v>272</v>
      </c>
      <c r="C128" t="s">
        <v>66</v>
      </c>
      <c r="D128" t="s">
        <v>63</v>
      </c>
      <c r="E128" t="s">
        <v>62</v>
      </c>
      <c r="F128" t="s">
        <v>267</v>
      </c>
      <c r="G128" s="78" t="s">
        <v>875</v>
      </c>
      <c r="H128" s="140">
        <v>-2.9607738401718486E-3</v>
      </c>
      <c r="I128" s="140">
        <v>-3.4500000000000004E-3</v>
      </c>
    </row>
    <row r="129" spans="1:9" x14ac:dyDescent="0.25">
      <c r="A129">
        <v>750</v>
      </c>
      <c r="B129" t="s">
        <v>274</v>
      </c>
      <c r="C129" t="s">
        <v>167</v>
      </c>
      <c r="D129" t="s">
        <v>63</v>
      </c>
      <c r="E129" t="s">
        <v>62</v>
      </c>
      <c r="F129" t="s">
        <v>267</v>
      </c>
      <c r="G129" s="78" t="s">
        <v>875</v>
      </c>
      <c r="H129" s="140">
        <v>-3.8999999999999998E-3</v>
      </c>
      <c r="I129" s="140">
        <v>-4.0000000000000001E-3</v>
      </c>
    </row>
    <row r="130" spans="1:9" x14ac:dyDescent="0.25">
      <c r="A130">
        <v>751</v>
      </c>
      <c r="B130" t="s">
        <v>275</v>
      </c>
      <c r="C130" t="s">
        <v>167</v>
      </c>
      <c r="D130" t="s">
        <v>63</v>
      </c>
      <c r="E130" t="s">
        <v>62</v>
      </c>
      <c r="F130" t="s">
        <v>267</v>
      </c>
      <c r="G130" s="78" t="s">
        <v>872</v>
      </c>
      <c r="H130" s="140">
        <v>-8.9999999999999993E-3</v>
      </c>
      <c r="I130" s="140">
        <v>-4.0000000000000001E-3</v>
      </c>
    </row>
    <row r="131" spans="1:9" x14ac:dyDescent="0.25">
      <c r="A131">
        <v>781</v>
      </c>
      <c r="B131" t="s">
        <v>276</v>
      </c>
      <c r="C131" t="s">
        <v>167</v>
      </c>
      <c r="D131" t="s">
        <v>63</v>
      </c>
      <c r="E131" t="s">
        <v>62</v>
      </c>
      <c r="F131" t="s">
        <v>267</v>
      </c>
      <c r="G131" s="78" t="s">
        <v>872</v>
      </c>
      <c r="H131" s="140">
        <v>-5.7000000000000002E-3</v>
      </c>
      <c r="I131" s="140">
        <v>-4.4000000000000003E-3</v>
      </c>
    </row>
    <row r="132" spans="1:9" x14ac:dyDescent="0.25">
      <c r="A132">
        <v>1133</v>
      </c>
      <c r="B132" t="s">
        <v>277</v>
      </c>
      <c r="C132" t="s">
        <v>167</v>
      </c>
      <c r="D132" t="s">
        <v>63</v>
      </c>
      <c r="E132" t="s">
        <v>62</v>
      </c>
      <c r="F132" t="s">
        <v>267</v>
      </c>
      <c r="G132" s="78" t="s">
        <v>874</v>
      </c>
      <c r="H132" s="140">
        <v>-9.3475021133459443E-3</v>
      </c>
      <c r="I132" s="140">
        <v>-9.3475021133459443E-3</v>
      </c>
    </row>
    <row r="133" spans="1:9" x14ac:dyDescent="0.25">
      <c r="A133">
        <v>1205</v>
      </c>
      <c r="B133" t="s">
        <v>880</v>
      </c>
      <c r="C133" t="s">
        <v>167</v>
      </c>
      <c r="D133" t="s">
        <v>63</v>
      </c>
      <c r="E133" t="s">
        <v>62</v>
      </c>
      <c r="F133" t="s">
        <v>267</v>
      </c>
      <c r="G133" s="78" t="s">
        <v>874</v>
      </c>
      <c r="H133" s="140" t="s">
        <v>876</v>
      </c>
      <c r="I133" s="140"/>
    </row>
    <row r="134" spans="1:9" x14ac:dyDescent="0.25">
      <c r="A134">
        <v>1239</v>
      </c>
      <c r="B134" t="s">
        <v>881</v>
      </c>
      <c r="C134" t="s">
        <v>167</v>
      </c>
      <c r="D134" t="s">
        <v>63</v>
      </c>
      <c r="E134" t="s">
        <v>62</v>
      </c>
      <c r="F134" t="s">
        <v>267</v>
      </c>
      <c r="G134" s="78" t="s">
        <v>874</v>
      </c>
      <c r="H134" s="140" t="s">
        <v>876</v>
      </c>
      <c r="I134" s="140"/>
    </row>
    <row r="135" spans="1:9" x14ac:dyDescent="0.25">
      <c r="A135">
        <v>256</v>
      </c>
      <c r="B135" t="s">
        <v>266</v>
      </c>
      <c r="C135" t="s">
        <v>167</v>
      </c>
      <c r="D135" t="s">
        <v>63</v>
      </c>
      <c r="E135" t="s">
        <v>62</v>
      </c>
      <c r="F135" t="s">
        <v>267</v>
      </c>
      <c r="G135" s="78" t="s">
        <v>872</v>
      </c>
      <c r="H135" s="140">
        <v>-8.3000000000000001E-3</v>
      </c>
      <c r="I135" s="140">
        <v>-1.12E-2</v>
      </c>
    </row>
    <row r="136" spans="1:9" x14ac:dyDescent="0.25">
      <c r="A136">
        <v>415</v>
      </c>
      <c r="B136" t="s">
        <v>270</v>
      </c>
      <c r="C136" t="s">
        <v>167</v>
      </c>
      <c r="D136" t="s">
        <v>63</v>
      </c>
      <c r="E136" t="s">
        <v>62</v>
      </c>
      <c r="F136" t="s">
        <v>267</v>
      </c>
      <c r="G136" s="78" t="s">
        <v>873</v>
      </c>
      <c r="H136" s="140">
        <v>-7.6640751094785228E-3</v>
      </c>
      <c r="I136" s="140">
        <v>-7.6933767262248945E-3</v>
      </c>
    </row>
    <row r="137" spans="1:9" x14ac:dyDescent="0.25">
      <c r="A137">
        <v>312</v>
      </c>
      <c r="B137" t="s">
        <v>268</v>
      </c>
      <c r="C137" t="s">
        <v>167</v>
      </c>
      <c r="D137" t="s">
        <v>63</v>
      </c>
      <c r="E137" t="s">
        <v>62</v>
      </c>
      <c r="F137" t="s">
        <v>267</v>
      </c>
      <c r="G137" s="78" t="s">
        <v>872</v>
      </c>
      <c r="H137" s="140">
        <v>-7.1993596384380965E-3</v>
      </c>
      <c r="I137" s="140">
        <v>-7.2663601517040889E-3</v>
      </c>
    </row>
    <row r="138" spans="1:9" s="31" customFormat="1" x14ac:dyDescent="0.25">
      <c r="A138" s="31">
        <v>313</v>
      </c>
      <c r="B138" s="31" t="s">
        <v>269</v>
      </c>
      <c r="C138" s="31" t="s">
        <v>167</v>
      </c>
      <c r="D138" s="31" t="s">
        <v>63</v>
      </c>
      <c r="E138" s="31" t="s">
        <v>62</v>
      </c>
      <c r="F138" s="31" t="s">
        <v>267</v>
      </c>
      <c r="G138" s="78" t="s">
        <v>872</v>
      </c>
      <c r="H138" s="140">
        <v>-7.2184804980806698E-3</v>
      </c>
      <c r="I138" s="140">
        <v>-6.6507657049635453E-3</v>
      </c>
    </row>
    <row r="139" spans="1:9" s="31" customFormat="1" x14ac:dyDescent="0.25">
      <c r="A139" s="31">
        <v>442</v>
      </c>
      <c r="B139" s="31" t="s">
        <v>271</v>
      </c>
      <c r="C139" s="31" t="s">
        <v>167</v>
      </c>
      <c r="D139" s="31" t="s">
        <v>63</v>
      </c>
      <c r="E139" s="31" t="s">
        <v>62</v>
      </c>
      <c r="F139" s="31" t="s">
        <v>267</v>
      </c>
      <c r="G139" s="78" t="s">
        <v>872</v>
      </c>
      <c r="H139" s="140">
        <v>-4.7000000000000002E-3</v>
      </c>
      <c r="I139" s="140">
        <v>-5.1999999999999998E-3</v>
      </c>
    </row>
    <row r="140" spans="1:9" x14ac:dyDescent="0.25">
      <c r="A140">
        <v>454</v>
      </c>
      <c r="B140" t="s">
        <v>272</v>
      </c>
      <c r="C140" t="s">
        <v>167</v>
      </c>
      <c r="D140" t="s">
        <v>63</v>
      </c>
      <c r="E140" t="s">
        <v>62</v>
      </c>
      <c r="F140" t="s">
        <v>267</v>
      </c>
      <c r="G140" s="78" t="s">
        <v>872</v>
      </c>
      <c r="H140" s="140">
        <v>-5.6693542097398259E-3</v>
      </c>
      <c r="I140" s="140">
        <v>-5.4041170414584625E-3</v>
      </c>
    </row>
    <row r="141" spans="1:9" x14ac:dyDescent="0.25">
      <c r="A141">
        <v>643</v>
      </c>
      <c r="B141" t="s">
        <v>273</v>
      </c>
      <c r="C141" t="s">
        <v>167</v>
      </c>
      <c r="D141" t="s">
        <v>63</v>
      </c>
      <c r="E141" s="31" t="s">
        <v>62</v>
      </c>
      <c r="F141" t="s">
        <v>267</v>
      </c>
      <c r="G141" s="78" t="s">
        <v>872</v>
      </c>
      <c r="H141" s="140">
        <v>-6.7999999999999996E-3</v>
      </c>
      <c r="I141" s="140">
        <v>-6.1999999999999998E-3</v>
      </c>
    </row>
    <row r="142" spans="1:9" x14ac:dyDescent="0.25">
      <c r="A142">
        <v>1162</v>
      </c>
      <c r="B142" t="s">
        <v>324</v>
      </c>
      <c r="C142" t="s">
        <v>167</v>
      </c>
      <c r="D142" t="s">
        <v>63</v>
      </c>
      <c r="E142" s="31" t="s">
        <v>62</v>
      </c>
      <c r="F142" t="s">
        <v>314</v>
      </c>
      <c r="G142" s="78" t="s">
        <v>875</v>
      </c>
      <c r="H142" s="140">
        <v>-8.3000000000000001E-3</v>
      </c>
      <c r="I142" s="140">
        <v>-8.3999999999999995E-3</v>
      </c>
    </row>
    <row r="143" spans="1:9" x14ac:dyDescent="0.25">
      <c r="A143">
        <v>1180</v>
      </c>
      <c r="B143" t="s">
        <v>244</v>
      </c>
      <c r="C143" t="s">
        <v>167</v>
      </c>
      <c r="D143" t="s">
        <v>63</v>
      </c>
      <c r="E143" s="31" t="s">
        <v>62</v>
      </c>
      <c r="F143" t="s">
        <v>314</v>
      </c>
      <c r="G143" s="78" t="s">
        <v>875</v>
      </c>
      <c r="H143" s="140">
        <v>-4.8999999999999998E-3</v>
      </c>
      <c r="I143" s="140">
        <v>-8.3999999999999995E-3</v>
      </c>
    </row>
    <row r="144" spans="1:9" x14ac:dyDescent="0.25">
      <c r="A144">
        <v>3117</v>
      </c>
      <c r="B144" t="s">
        <v>325</v>
      </c>
      <c r="C144" t="s">
        <v>66</v>
      </c>
      <c r="D144" t="s">
        <v>63</v>
      </c>
      <c r="E144" s="31" t="s">
        <v>62</v>
      </c>
      <c r="F144" t="s">
        <v>314</v>
      </c>
      <c r="G144" s="78" t="s">
        <v>874</v>
      </c>
      <c r="H144" s="140" t="s">
        <v>876</v>
      </c>
      <c r="I144" s="140">
        <v>-4.45E-3</v>
      </c>
    </row>
    <row r="145" spans="1:9" x14ac:dyDescent="0.25">
      <c r="A145">
        <v>180</v>
      </c>
      <c r="B145" t="s">
        <v>313</v>
      </c>
      <c r="C145" t="s">
        <v>167</v>
      </c>
      <c r="D145" t="s">
        <v>63</v>
      </c>
      <c r="E145" s="31" t="s">
        <v>62</v>
      </c>
      <c r="F145" t="s">
        <v>314</v>
      </c>
      <c r="G145" s="78" t="s">
        <v>873</v>
      </c>
      <c r="H145" s="140">
        <v>-1.2320375748452267E-2</v>
      </c>
      <c r="I145" s="140">
        <v>-1.1796113691040815E-2</v>
      </c>
    </row>
    <row r="146" spans="1:9" x14ac:dyDescent="0.25">
      <c r="A146">
        <v>183</v>
      </c>
      <c r="B146" t="s">
        <v>316</v>
      </c>
      <c r="C146" t="s">
        <v>167</v>
      </c>
      <c r="D146" t="s">
        <v>63</v>
      </c>
      <c r="E146" s="31" t="s">
        <v>62</v>
      </c>
      <c r="F146" t="s">
        <v>314</v>
      </c>
      <c r="G146" s="78" t="s">
        <v>875</v>
      </c>
      <c r="H146" s="140">
        <v>-4.8999999999999998E-3</v>
      </c>
      <c r="I146" s="140">
        <v>-7.9000000000000008E-3</v>
      </c>
    </row>
    <row r="147" spans="1:9" x14ac:dyDescent="0.25">
      <c r="A147">
        <v>184</v>
      </c>
      <c r="B147" t="s">
        <v>317</v>
      </c>
      <c r="C147" t="s">
        <v>167</v>
      </c>
      <c r="D147" t="s">
        <v>63</v>
      </c>
      <c r="E147" s="31" t="s">
        <v>62</v>
      </c>
      <c r="F147" t="s">
        <v>314</v>
      </c>
      <c r="G147" s="78" t="s">
        <v>872</v>
      </c>
      <c r="H147" s="140">
        <v>-1.1299999999999999E-2</v>
      </c>
      <c r="I147" s="140">
        <v>-1.0500000000000001E-2</v>
      </c>
    </row>
    <row r="148" spans="1:9" x14ac:dyDescent="0.25">
      <c r="A148">
        <v>225</v>
      </c>
      <c r="B148" t="s">
        <v>318</v>
      </c>
      <c r="C148" t="s">
        <v>167</v>
      </c>
      <c r="D148" t="s">
        <v>63</v>
      </c>
      <c r="E148" s="31" t="s">
        <v>62</v>
      </c>
      <c r="F148" t="s">
        <v>314</v>
      </c>
      <c r="G148" s="78" t="s">
        <v>873</v>
      </c>
      <c r="H148" s="140">
        <v>-8.6587872585121087E-3</v>
      </c>
      <c r="I148" s="140">
        <v>-8.2279812394689174E-3</v>
      </c>
    </row>
    <row r="149" spans="1:9" x14ac:dyDescent="0.25">
      <c r="A149">
        <v>416</v>
      </c>
      <c r="B149" t="s">
        <v>321</v>
      </c>
      <c r="C149" t="s">
        <v>167</v>
      </c>
      <c r="D149" t="s">
        <v>63</v>
      </c>
      <c r="E149" s="31" t="s">
        <v>62</v>
      </c>
      <c r="F149" t="s">
        <v>314</v>
      </c>
      <c r="G149" s="78" t="s">
        <v>873</v>
      </c>
      <c r="H149" s="140">
        <v>-1.1034248181615218E-2</v>
      </c>
      <c r="I149" s="140">
        <v>-1.054296716490574E-2</v>
      </c>
    </row>
    <row r="150" spans="1:9" x14ac:dyDescent="0.25">
      <c r="A150">
        <v>475</v>
      </c>
      <c r="B150" t="s">
        <v>322</v>
      </c>
      <c r="C150" t="s">
        <v>167</v>
      </c>
      <c r="D150" t="s">
        <v>63</v>
      </c>
      <c r="E150" s="31" t="s">
        <v>62</v>
      </c>
      <c r="F150" t="s">
        <v>314</v>
      </c>
      <c r="G150" s="78" t="s">
        <v>873</v>
      </c>
      <c r="H150" s="140">
        <v>-1.0781127737516757E-2</v>
      </c>
      <c r="I150" s="140">
        <v>-1.0248429394262947E-2</v>
      </c>
    </row>
    <row r="151" spans="1:9" x14ac:dyDescent="0.25">
      <c r="A151">
        <v>731</v>
      </c>
      <c r="B151" t="s">
        <v>323</v>
      </c>
      <c r="C151" t="s">
        <v>167</v>
      </c>
      <c r="D151" t="s">
        <v>63</v>
      </c>
      <c r="E151" s="31" t="s">
        <v>62</v>
      </c>
      <c r="F151" t="s">
        <v>314</v>
      </c>
      <c r="G151" s="78" t="s">
        <v>873</v>
      </c>
      <c r="H151" s="140">
        <v>-9.6147786945011571E-3</v>
      </c>
      <c r="I151" s="140">
        <v>-9.4257391866149186E-3</v>
      </c>
    </row>
    <row r="152" spans="1:9" x14ac:dyDescent="0.25">
      <c r="A152">
        <v>181</v>
      </c>
      <c r="B152" t="s">
        <v>315</v>
      </c>
      <c r="C152" t="s">
        <v>167</v>
      </c>
      <c r="D152" t="s">
        <v>63</v>
      </c>
      <c r="E152" s="31" t="s">
        <v>62</v>
      </c>
      <c r="F152" t="s">
        <v>314</v>
      </c>
      <c r="G152" s="78" t="s">
        <v>873</v>
      </c>
      <c r="H152" s="140">
        <v>-1.2200000000000001E-2</v>
      </c>
      <c r="I152" s="140">
        <v>-8.2000000000000007E-3</v>
      </c>
    </row>
    <row r="153" spans="1:9" x14ac:dyDescent="0.25">
      <c r="A153">
        <v>226</v>
      </c>
      <c r="B153" t="s">
        <v>319</v>
      </c>
      <c r="C153" t="s">
        <v>167</v>
      </c>
      <c r="D153" t="s">
        <v>63</v>
      </c>
      <c r="E153" s="31" t="s">
        <v>62</v>
      </c>
      <c r="F153" t="s">
        <v>314</v>
      </c>
      <c r="G153" s="78" t="s">
        <v>872</v>
      </c>
      <c r="H153" s="140">
        <v>-7.2273481499235889E-3</v>
      </c>
      <c r="I153" s="140">
        <v>-7.191950682327094E-3</v>
      </c>
    </row>
    <row r="154" spans="1:9" s="31" customFormat="1" x14ac:dyDescent="0.25">
      <c r="A154" s="31">
        <v>279</v>
      </c>
      <c r="B154" s="31" t="s">
        <v>320</v>
      </c>
      <c r="C154" s="31" t="s">
        <v>167</v>
      </c>
      <c r="D154" s="31" t="s">
        <v>63</v>
      </c>
      <c r="E154" s="31" t="s">
        <v>62</v>
      </c>
      <c r="F154" s="31" t="s">
        <v>314</v>
      </c>
      <c r="G154" s="78" t="s">
        <v>872</v>
      </c>
      <c r="H154" s="140">
        <v>-8.4647480493495048E-3</v>
      </c>
      <c r="I154" s="140">
        <v>-8.0287750715973584E-3</v>
      </c>
    </row>
    <row r="155" spans="1:9" x14ac:dyDescent="0.25">
      <c r="A155">
        <v>3003</v>
      </c>
      <c r="B155" t="s">
        <v>312</v>
      </c>
      <c r="C155" t="s">
        <v>66</v>
      </c>
      <c r="D155" t="s">
        <v>63</v>
      </c>
      <c r="E155" t="s">
        <v>62</v>
      </c>
      <c r="F155" t="s">
        <v>384</v>
      </c>
      <c r="G155" s="78" t="s">
        <v>875</v>
      </c>
      <c r="H155" s="140">
        <v>-2.5036426870228474E-3</v>
      </c>
      <c r="I155" s="140">
        <v>-3.4500000000000004E-3</v>
      </c>
    </row>
    <row r="156" spans="1:9" x14ac:dyDescent="0.25">
      <c r="A156">
        <v>3076</v>
      </c>
      <c r="B156" t="s">
        <v>387</v>
      </c>
      <c r="C156" t="s">
        <v>66</v>
      </c>
      <c r="D156" t="s">
        <v>63</v>
      </c>
      <c r="E156" s="31" t="s">
        <v>62</v>
      </c>
      <c r="F156" t="s">
        <v>384</v>
      </c>
      <c r="G156" s="78" t="s">
        <v>875</v>
      </c>
      <c r="H156" s="140">
        <v>-3.6666158191890194E-3</v>
      </c>
      <c r="I156" s="140">
        <v>-3.4499999999999999E-3</v>
      </c>
    </row>
    <row r="157" spans="1:9" x14ac:dyDescent="0.25">
      <c r="A157">
        <v>3002</v>
      </c>
      <c r="B157" t="s">
        <v>394</v>
      </c>
      <c r="C157" t="s">
        <v>66</v>
      </c>
      <c r="D157" t="s">
        <v>63</v>
      </c>
      <c r="E157" s="31" t="s">
        <v>62</v>
      </c>
      <c r="F157" t="s">
        <v>384</v>
      </c>
      <c r="G157" s="78" t="s">
        <v>873</v>
      </c>
      <c r="H157" s="140">
        <v>-9.7683877846727954E-3</v>
      </c>
      <c r="I157" s="140">
        <v>-6.8899999999999994E-3</v>
      </c>
    </row>
    <row r="158" spans="1:9" x14ac:dyDescent="0.25">
      <c r="A158">
        <v>619</v>
      </c>
      <c r="B158" t="s">
        <v>390</v>
      </c>
      <c r="C158" t="s">
        <v>167</v>
      </c>
      <c r="D158" t="s">
        <v>63</v>
      </c>
      <c r="E158" s="31" t="s">
        <v>62</v>
      </c>
      <c r="F158" t="s">
        <v>384</v>
      </c>
      <c r="G158" s="78" t="s">
        <v>875</v>
      </c>
      <c r="H158" s="140">
        <v>-5.3931730725533273E-3</v>
      </c>
      <c r="I158" s="140">
        <v>-5.4495423767898128E-3</v>
      </c>
    </row>
    <row r="159" spans="1:9" x14ac:dyDescent="0.25">
      <c r="A159">
        <v>1124</v>
      </c>
      <c r="B159" t="s">
        <v>392</v>
      </c>
      <c r="C159" t="s">
        <v>167</v>
      </c>
      <c r="D159" t="s">
        <v>63</v>
      </c>
      <c r="E159" s="31" t="s">
        <v>62</v>
      </c>
      <c r="F159" t="s">
        <v>384</v>
      </c>
      <c r="G159" s="78" t="s">
        <v>872</v>
      </c>
      <c r="H159" s="140">
        <v>-5.4999999999999997E-3</v>
      </c>
      <c r="I159" s="140">
        <v>-4.1999999999999997E-3</v>
      </c>
    </row>
    <row r="160" spans="1:9" x14ac:dyDescent="0.25">
      <c r="A160">
        <v>1160</v>
      </c>
      <c r="B160" t="s">
        <v>393</v>
      </c>
      <c r="C160" t="s">
        <v>167</v>
      </c>
      <c r="D160" t="s">
        <v>63</v>
      </c>
      <c r="E160" s="31" t="s">
        <v>62</v>
      </c>
      <c r="F160" t="s">
        <v>384</v>
      </c>
      <c r="G160" s="78" t="s">
        <v>874</v>
      </c>
      <c r="H160" s="140">
        <v>0</v>
      </c>
      <c r="I160" s="140">
        <v>-8.6E-3</v>
      </c>
    </row>
    <row r="161" spans="1:9" x14ac:dyDescent="0.25">
      <c r="A161">
        <v>3001</v>
      </c>
      <c r="B161" t="s">
        <v>319</v>
      </c>
      <c r="C161" t="s">
        <v>66</v>
      </c>
      <c r="D161" t="s">
        <v>63</v>
      </c>
      <c r="E161" s="31" t="s">
        <v>62</v>
      </c>
      <c r="F161" t="s">
        <v>384</v>
      </c>
      <c r="G161" s="78" t="s">
        <v>872</v>
      </c>
      <c r="H161" s="140">
        <v>-5.1644338242964188E-3</v>
      </c>
      <c r="I161" s="140">
        <v>-4.3499999999999997E-3</v>
      </c>
    </row>
    <row r="162" spans="1:9" x14ac:dyDescent="0.25">
      <c r="A162">
        <v>299</v>
      </c>
      <c r="B162" t="s">
        <v>385</v>
      </c>
      <c r="C162" t="s">
        <v>167</v>
      </c>
      <c r="D162" t="s">
        <v>63</v>
      </c>
      <c r="E162" s="31" t="s">
        <v>62</v>
      </c>
      <c r="F162" t="s">
        <v>384</v>
      </c>
      <c r="G162" s="78" t="s">
        <v>873</v>
      </c>
      <c r="H162" s="140">
        <v>-6.9293380197285159E-3</v>
      </c>
      <c r="I162" s="140">
        <v>-7.2798007531547186E-3</v>
      </c>
    </row>
    <row r="163" spans="1:9" x14ac:dyDescent="0.25">
      <c r="A163">
        <v>265</v>
      </c>
      <c r="B163" t="s">
        <v>383</v>
      </c>
      <c r="C163" t="s">
        <v>167</v>
      </c>
      <c r="D163" t="s">
        <v>63</v>
      </c>
      <c r="E163" s="31" t="s">
        <v>62</v>
      </c>
      <c r="F163" t="s">
        <v>384</v>
      </c>
      <c r="G163" s="78" t="s">
        <v>872</v>
      </c>
      <c r="H163" s="140">
        <v>-8.6969298896394324E-3</v>
      </c>
      <c r="I163" s="140">
        <v>-8.3000000000000001E-3</v>
      </c>
    </row>
    <row r="164" spans="1:9" x14ac:dyDescent="0.25">
      <c r="A164">
        <v>378</v>
      </c>
      <c r="B164" t="s">
        <v>386</v>
      </c>
      <c r="C164" t="s">
        <v>167</v>
      </c>
      <c r="D164" t="s">
        <v>63</v>
      </c>
      <c r="E164" s="31" t="s">
        <v>62</v>
      </c>
      <c r="F164" t="s">
        <v>384</v>
      </c>
      <c r="G164" s="78" t="s">
        <v>873</v>
      </c>
      <c r="H164" s="140">
        <v>-8.2000000000000007E-3</v>
      </c>
      <c r="I164" s="140">
        <v>-4.1999999999999997E-3</v>
      </c>
    </row>
    <row r="165" spans="1:9" s="31" customFormat="1" x14ac:dyDescent="0.25">
      <c r="A165" s="31">
        <v>393</v>
      </c>
      <c r="B165" s="31" t="s">
        <v>312</v>
      </c>
      <c r="C165" s="31" t="s">
        <v>167</v>
      </c>
      <c r="D165" s="31" t="s">
        <v>63</v>
      </c>
      <c r="E165" s="31" t="s">
        <v>62</v>
      </c>
      <c r="F165" s="31" t="s">
        <v>384</v>
      </c>
      <c r="G165" s="78" t="s">
        <v>873</v>
      </c>
      <c r="H165" s="140">
        <v>-1.2999999999999999E-2</v>
      </c>
      <c r="I165" s="140">
        <v>-8.8000000000000005E-3</v>
      </c>
    </row>
    <row r="166" spans="1:9" x14ac:dyDescent="0.25">
      <c r="A166">
        <v>407</v>
      </c>
      <c r="B166" t="s">
        <v>387</v>
      </c>
      <c r="C166" t="s">
        <v>167</v>
      </c>
      <c r="D166" t="s">
        <v>63</v>
      </c>
      <c r="E166" s="31" t="s">
        <v>62</v>
      </c>
      <c r="F166" t="s">
        <v>384</v>
      </c>
      <c r="G166" s="78" t="s">
        <v>872</v>
      </c>
      <c r="H166" s="140">
        <v>-5.5999999999999999E-3</v>
      </c>
      <c r="I166" s="140">
        <v>-6.1000000000000004E-3</v>
      </c>
    </row>
    <row r="167" spans="1:9" x14ac:dyDescent="0.25">
      <c r="A167">
        <v>409</v>
      </c>
      <c r="B167" t="s">
        <v>388</v>
      </c>
      <c r="C167" t="s">
        <v>167</v>
      </c>
      <c r="D167" t="s">
        <v>63</v>
      </c>
      <c r="E167" s="31" t="s">
        <v>62</v>
      </c>
      <c r="F167" t="s">
        <v>384</v>
      </c>
      <c r="G167" s="78" t="s">
        <v>872</v>
      </c>
      <c r="H167" s="140">
        <v>-1.0930164039064051E-2</v>
      </c>
      <c r="I167" s="140">
        <v>-0.01</v>
      </c>
    </row>
    <row r="168" spans="1:9" x14ac:dyDescent="0.25">
      <c r="A168">
        <v>411</v>
      </c>
      <c r="B168" t="s">
        <v>389</v>
      </c>
      <c r="C168" t="s">
        <v>167</v>
      </c>
      <c r="D168" t="s">
        <v>63</v>
      </c>
      <c r="E168" s="31" t="s">
        <v>62</v>
      </c>
      <c r="F168" t="s">
        <v>384</v>
      </c>
      <c r="G168" s="78" t="s">
        <v>873</v>
      </c>
      <c r="H168" s="140">
        <v>-9.2999999999999992E-3</v>
      </c>
      <c r="I168" s="140">
        <v>-6.1999999999999998E-3</v>
      </c>
    </row>
    <row r="169" spans="1:9" x14ac:dyDescent="0.25">
      <c r="A169">
        <v>1017</v>
      </c>
      <c r="B169" t="s">
        <v>391</v>
      </c>
      <c r="C169" t="s">
        <v>167</v>
      </c>
      <c r="D169" t="s">
        <v>63</v>
      </c>
      <c r="E169" s="31" t="s">
        <v>62</v>
      </c>
      <c r="F169" t="s">
        <v>384</v>
      </c>
      <c r="G169" s="78" t="s">
        <v>872</v>
      </c>
      <c r="H169" s="140">
        <v>-1.15E-2</v>
      </c>
      <c r="I169" s="140">
        <v>-1.0500000000000001E-2</v>
      </c>
    </row>
    <row r="170" spans="1:9" s="31" customFormat="1" x14ac:dyDescent="0.25">
      <c r="A170" s="31">
        <v>3006</v>
      </c>
      <c r="B170" s="31" t="s">
        <v>403</v>
      </c>
      <c r="C170" s="31" t="s">
        <v>66</v>
      </c>
      <c r="D170" s="31" t="s">
        <v>63</v>
      </c>
      <c r="E170" s="31" t="s">
        <v>62</v>
      </c>
      <c r="F170" s="31" t="s">
        <v>396</v>
      </c>
      <c r="G170" s="78" t="s">
        <v>872</v>
      </c>
      <c r="H170" s="140">
        <v>-4.3E-3</v>
      </c>
      <c r="I170" s="140">
        <v>-4.1999999999999997E-3</v>
      </c>
    </row>
    <row r="171" spans="1:9" x14ac:dyDescent="0.25">
      <c r="A171">
        <v>3060</v>
      </c>
      <c r="B171" t="s">
        <v>396</v>
      </c>
      <c r="C171" t="s">
        <v>66</v>
      </c>
      <c r="D171" t="s">
        <v>63</v>
      </c>
      <c r="E171" s="31" t="s">
        <v>62</v>
      </c>
      <c r="F171" t="s">
        <v>396</v>
      </c>
      <c r="G171" s="78" t="s">
        <v>875</v>
      </c>
      <c r="H171" s="140">
        <v>-1.0185148629063665E-3</v>
      </c>
      <c r="I171" s="140">
        <v>-3.4500000000000004E-3</v>
      </c>
    </row>
    <row r="172" spans="1:9" x14ac:dyDescent="0.25">
      <c r="A172">
        <v>688</v>
      </c>
      <c r="B172" t="s">
        <v>400</v>
      </c>
      <c r="C172" t="s">
        <v>167</v>
      </c>
      <c r="D172" t="s">
        <v>63</v>
      </c>
      <c r="E172" s="31" t="s">
        <v>62</v>
      </c>
      <c r="F172" t="s">
        <v>396</v>
      </c>
      <c r="G172" s="78" t="s">
        <v>875</v>
      </c>
      <c r="H172" s="140">
        <v>-3.7000000000000002E-3</v>
      </c>
      <c r="I172" s="140">
        <v>-4.1999999999999997E-3</v>
      </c>
    </row>
    <row r="173" spans="1:9" x14ac:dyDescent="0.25">
      <c r="A173">
        <v>1101</v>
      </c>
      <c r="B173" t="s">
        <v>403</v>
      </c>
      <c r="C173" t="s">
        <v>167</v>
      </c>
      <c r="D173" t="s">
        <v>63</v>
      </c>
      <c r="E173" s="31" t="s">
        <v>62</v>
      </c>
      <c r="F173" t="s">
        <v>396</v>
      </c>
      <c r="G173" s="78" t="s">
        <v>875</v>
      </c>
      <c r="H173" s="140">
        <v>-2.2218542107288243E-3</v>
      </c>
      <c r="I173" s="140">
        <v>-4.4999999999999997E-3</v>
      </c>
    </row>
    <row r="174" spans="1:9" x14ac:dyDescent="0.25">
      <c r="A174">
        <v>1190</v>
      </c>
      <c r="B174" t="s">
        <v>887</v>
      </c>
      <c r="C174" t="s">
        <v>167</v>
      </c>
      <c r="D174" t="s">
        <v>63</v>
      </c>
      <c r="E174" s="31" t="s">
        <v>62</v>
      </c>
      <c r="F174" t="s">
        <v>396</v>
      </c>
      <c r="G174" s="78" t="s">
        <v>874</v>
      </c>
      <c r="H174" s="140" t="s">
        <v>876</v>
      </c>
      <c r="I174" s="140"/>
    </row>
    <row r="175" spans="1:9" x14ac:dyDescent="0.25">
      <c r="A175">
        <v>1241</v>
      </c>
      <c r="B175" t="s">
        <v>888</v>
      </c>
      <c r="C175" t="s">
        <v>167</v>
      </c>
      <c r="D175" t="s">
        <v>63</v>
      </c>
      <c r="E175" s="31" t="s">
        <v>62</v>
      </c>
      <c r="F175" t="s">
        <v>396</v>
      </c>
      <c r="G175" s="78" t="s">
        <v>874</v>
      </c>
      <c r="H175" s="140" t="s">
        <v>876</v>
      </c>
      <c r="I175" s="140"/>
    </row>
    <row r="176" spans="1:9" x14ac:dyDescent="0.25">
      <c r="A176">
        <v>449</v>
      </c>
      <c r="B176" t="s">
        <v>399</v>
      </c>
      <c r="C176" t="s">
        <v>167</v>
      </c>
      <c r="D176" t="s">
        <v>63</v>
      </c>
      <c r="E176" s="31" t="s">
        <v>62</v>
      </c>
      <c r="F176" t="s">
        <v>396</v>
      </c>
      <c r="G176" s="78" t="s">
        <v>872</v>
      </c>
      <c r="H176" s="140">
        <v>-1.12E-2</v>
      </c>
      <c r="I176" s="140">
        <v>-1.0999999999999999E-2</v>
      </c>
    </row>
    <row r="177" spans="1:9" x14ac:dyDescent="0.25">
      <c r="A177">
        <v>695</v>
      </c>
      <c r="B177" t="s">
        <v>401</v>
      </c>
      <c r="C177" t="s">
        <v>167</v>
      </c>
      <c r="D177" t="s">
        <v>63</v>
      </c>
      <c r="E177" s="31" t="s">
        <v>62</v>
      </c>
      <c r="F177" t="s">
        <v>396</v>
      </c>
      <c r="G177" s="78" t="s">
        <v>872</v>
      </c>
      <c r="H177" s="140">
        <v>-8.3999999999999995E-3</v>
      </c>
      <c r="I177" s="140">
        <v>-5.3E-3</v>
      </c>
    </row>
    <row r="178" spans="1:9" x14ac:dyDescent="0.25">
      <c r="A178">
        <v>139</v>
      </c>
      <c r="B178" t="s">
        <v>396</v>
      </c>
      <c r="C178" t="s">
        <v>167</v>
      </c>
      <c r="D178" t="s">
        <v>63</v>
      </c>
      <c r="E178" s="31" t="s">
        <v>62</v>
      </c>
      <c r="F178" t="s">
        <v>396</v>
      </c>
      <c r="G178" s="78" t="s">
        <v>872</v>
      </c>
      <c r="H178" s="140">
        <v>-5.7234434309476586E-3</v>
      </c>
      <c r="I178" s="140">
        <v>-5.5514444463001713E-3</v>
      </c>
    </row>
    <row r="179" spans="1:9" x14ac:dyDescent="0.25">
      <c r="A179">
        <v>273</v>
      </c>
      <c r="B179" t="s">
        <v>397</v>
      </c>
      <c r="C179" t="s">
        <v>167</v>
      </c>
      <c r="D179" t="s">
        <v>63</v>
      </c>
      <c r="E179" s="31" t="s">
        <v>62</v>
      </c>
      <c r="F179" t="s">
        <v>396</v>
      </c>
      <c r="G179" s="78" t="s">
        <v>872</v>
      </c>
      <c r="H179" s="140">
        <v>-4.8674495480215373E-3</v>
      </c>
      <c r="I179" s="140">
        <v>-4.9261187498009125E-3</v>
      </c>
    </row>
    <row r="180" spans="1:9" x14ac:dyDescent="0.25">
      <c r="A180">
        <v>398</v>
      </c>
      <c r="B180" t="s">
        <v>398</v>
      </c>
      <c r="C180" t="s">
        <v>167</v>
      </c>
      <c r="D180" t="s">
        <v>63</v>
      </c>
      <c r="E180" t="s">
        <v>62</v>
      </c>
      <c r="F180" t="s">
        <v>396</v>
      </c>
      <c r="G180" s="78" t="s">
        <v>875</v>
      </c>
      <c r="H180" s="140">
        <v>-4.7999999999999996E-3</v>
      </c>
      <c r="I180" s="140">
        <v>-5.4000000000000003E-3</v>
      </c>
    </row>
    <row r="181" spans="1:9" s="31" customFormat="1" x14ac:dyDescent="0.25">
      <c r="A181" s="31">
        <v>3094</v>
      </c>
      <c r="B181" s="31" t="s">
        <v>411</v>
      </c>
      <c r="C181" s="31" t="s">
        <v>66</v>
      </c>
      <c r="D181" s="31" t="s">
        <v>63</v>
      </c>
      <c r="E181" s="31" t="s">
        <v>62</v>
      </c>
      <c r="F181" s="31" t="s">
        <v>405</v>
      </c>
      <c r="G181" s="78" t="s">
        <v>875</v>
      </c>
      <c r="H181" s="140">
        <v>-9.2166615398196002E-4</v>
      </c>
      <c r="I181" s="140">
        <v>-3.4500000000000004E-3</v>
      </c>
    </row>
    <row r="182" spans="1:9" x14ac:dyDescent="0.25">
      <c r="A182">
        <v>369</v>
      </c>
      <c r="B182" t="s">
        <v>407</v>
      </c>
      <c r="C182" t="s">
        <v>167</v>
      </c>
      <c r="D182" t="s">
        <v>63</v>
      </c>
      <c r="E182" t="s">
        <v>62</v>
      </c>
      <c r="F182" t="s">
        <v>405</v>
      </c>
      <c r="G182" s="78" t="s">
        <v>875</v>
      </c>
      <c r="H182" s="140">
        <v>-4.5524616939213247E-3</v>
      </c>
      <c r="I182" s="140">
        <v>-4.4999999999999997E-3</v>
      </c>
    </row>
    <row r="183" spans="1:9" x14ac:dyDescent="0.25">
      <c r="A183">
        <v>443</v>
      </c>
      <c r="B183" t="s">
        <v>408</v>
      </c>
      <c r="C183" t="s">
        <v>167</v>
      </c>
      <c r="D183" t="s">
        <v>63</v>
      </c>
      <c r="E183" t="s">
        <v>62</v>
      </c>
      <c r="F183" t="s">
        <v>405</v>
      </c>
      <c r="G183" s="78" t="s">
        <v>875</v>
      </c>
      <c r="H183" s="140">
        <v>-5.1718252521256985E-3</v>
      </c>
      <c r="I183" s="140">
        <v>-4.7946934868183071E-3</v>
      </c>
    </row>
    <row r="184" spans="1:9" x14ac:dyDescent="0.25">
      <c r="A184">
        <v>1201</v>
      </c>
      <c r="B184" t="s">
        <v>849</v>
      </c>
      <c r="C184" t="s">
        <v>167</v>
      </c>
      <c r="D184" t="s">
        <v>63</v>
      </c>
      <c r="E184" t="s">
        <v>62</v>
      </c>
      <c r="F184" t="s">
        <v>405</v>
      </c>
      <c r="G184" s="78" t="s">
        <v>874</v>
      </c>
      <c r="H184" s="140" t="s">
        <v>876</v>
      </c>
      <c r="I184" s="140">
        <v>-8.6E-3</v>
      </c>
    </row>
    <row r="185" spans="1:9" x14ac:dyDescent="0.25">
      <c r="A185">
        <v>1231</v>
      </c>
      <c r="B185" t="s">
        <v>436</v>
      </c>
      <c r="C185" t="s">
        <v>167</v>
      </c>
      <c r="D185" t="s">
        <v>63</v>
      </c>
      <c r="E185" t="s">
        <v>62</v>
      </c>
      <c r="F185" t="s">
        <v>405</v>
      </c>
      <c r="G185" s="78" t="s">
        <v>874</v>
      </c>
      <c r="H185" s="140" t="s">
        <v>876</v>
      </c>
      <c r="I185" s="140">
        <v>-8.6E-3</v>
      </c>
    </row>
    <row r="186" spans="1:9" x14ac:dyDescent="0.25">
      <c r="A186">
        <v>4601</v>
      </c>
      <c r="B186" t="s">
        <v>892</v>
      </c>
      <c r="C186" t="s">
        <v>863</v>
      </c>
      <c r="D186" t="s">
        <v>63</v>
      </c>
      <c r="E186" t="s">
        <v>62</v>
      </c>
      <c r="F186" t="s">
        <v>405</v>
      </c>
      <c r="G186" s="78" t="s">
        <v>874</v>
      </c>
      <c r="H186" s="140" t="s">
        <v>876</v>
      </c>
      <c r="I186" s="140" t="s">
        <v>876</v>
      </c>
    </row>
    <row r="187" spans="1:9" x14ac:dyDescent="0.25">
      <c r="A187">
        <v>104</v>
      </c>
      <c r="B187" t="s">
        <v>395</v>
      </c>
      <c r="C187" t="s">
        <v>167</v>
      </c>
      <c r="D187" t="s">
        <v>63</v>
      </c>
      <c r="E187" t="s">
        <v>62</v>
      </c>
      <c r="F187" t="s">
        <v>405</v>
      </c>
      <c r="G187" s="78" t="s">
        <v>872</v>
      </c>
      <c r="H187" s="140">
        <v>-5.7999999999999996E-3</v>
      </c>
      <c r="I187" s="140">
        <v>-7.1999999999999998E-3</v>
      </c>
    </row>
    <row r="188" spans="1:9" x14ac:dyDescent="0.25">
      <c r="A188">
        <v>124</v>
      </c>
      <c r="B188" t="s">
        <v>404</v>
      </c>
      <c r="C188" t="s">
        <v>167</v>
      </c>
      <c r="D188" t="s">
        <v>63</v>
      </c>
      <c r="E188" t="s">
        <v>62</v>
      </c>
      <c r="F188" t="s">
        <v>405</v>
      </c>
      <c r="G188" s="78" t="s">
        <v>872</v>
      </c>
      <c r="H188" s="140">
        <v>-6.0000000000000001E-3</v>
      </c>
      <c r="I188" s="140">
        <v>-5.7000000000000002E-3</v>
      </c>
    </row>
    <row r="189" spans="1:9" x14ac:dyDescent="0.25">
      <c r="A189">
        <v>130</v>
      </c>
      <c r="B189" t="s">
        <v>406</v>
      </c>
      <c r="C189" t="s">
        <v>167</v>
      </c>
      <c r="D189" t="s">
        <v>63</v>
      </c>
      <c r="E189" t="s">
        <v>62</v>
      </c>
      <c r="F189" t="s">
        <v>405</v>
      </c>
      <c r="G189" s="78" t="s">
        <v>872</v>
      </c>
      <c r="H189" s="140">
        <v>-4.3197289816484996E-3</v>
      </c>
      <c r="I189" s="140">
        <v>-4.6297940997696166E-3</v>
      </c>
    </row>
    <row r="190" spans="1:9" x14ac:dyDescent="0.25">
      <c r="A190">
        <v>138</v>
      </c>
      <c r="B190" t="s">
        <v>319</v>
      </c>
      <c r="C190" t="s">
        <v>167</v>
      </c>
      <c r="D190" t="s">
        <v>63</v>
      </c>
      <c r="E190" t="s">
        <v>62</v>
      </c>
      <c r="F190" t="s">
        <v>405</v>
      </c>
      <c r="G190" s="78" t="s">
        <v>875</v>
      </c>
      <c r="H190" s="140">
        <v>-3.8999999999999998E-3</v>
      </c>
      <c r="I190" s="140">
        <v>-4.1999999999999997E-3</v>
      </c>
    </row>
    <row r="191" spans="1:9" x14ac:dyDescent="0.25">
      <c r="A191">
        <v>179</v>
      </c>
      <c r="B191" t="s">
        <v>188</v>
      </c>
      <c r="C191" t="s">
        <v>167</v>
      </c>
      <c r="D191" t="s">
        <v>63</v>
      </c>
      <c r="E191" t="s">
        <v>62</v>
      </c>
      <c r="F191" t="s">
        <v>405</v>
      </c>
      <c r="G191" s="78" t="s">
        <v>872</v>
      </c>
      <c r="H191" s="140">
        <v>-7.7000000000000002E-3</v>
      </c>
      <c r="I191" s="140">
        <v>-6.4000000000000003E-3</v>
      </c>
    </row>
    <row r="192" spans="1:9" x14ac:dyDescent="0.25">
      <c r="A192">
        <v>696</v>
      </c>
      <c r="B192" t="s">
        <v>409</v>
      </c>
      <c r="C192" t="s">
        <v>167</v>
      </c>
      <c r="D192" t="s">
        <v>63</v>
      </c>
      <c r="E192" t="s">
        <v>62</v>
      </c>
      <c r="F192" t="s">
        <v>405</v>
      </c>
      <c r="G192" s="78" t="s">
        <v>875</v>
      </c>
      <c r="H192" s="140">
        <v>-4.4999999999999997E-3</v>
      </c>
      <c r="I192" s="140">
        <v>-9.1000000000000004E-3</v>
      </c>
    </row>
    <row r="193" spans="1:9" x14ac:dyDescent="0.25">
      <c r="A193">
        <v>1086</v>
      </c>
      <c r="B193" t="s">
        <v>410</v>
      </c>
      <c r="C193" t="s">
        <v>167</v>
      </c>
      <c r="D193" t="s">
        <v>63</v>
      </c>
      <c r="E193" t="s">
        <v>62</v>
      </c>
      <c r="F193" t="s">
        <v>405</v>
      </c>
      <c r="G193" s="78" t="s">
        <v>875</v>
      </c>
      <c r="H193" s="140">
        <v>-5.5999999999999999E-3</v>
      </c>
      <c r="I193" s="140">
        <v>-9.4000000000000004E-3</v>
      </c>
    </row>
    <row r="194" spans="1:9" x14ac:dyDescent="0.25">
      <c r="A194">
        <v>3031</v>
      </c>
      <c r="B194" t="s">
        <v>420</v>
      </c>
      <c r="C194" t="s">
        <v>66</v>
      </c>
      <c r="D194" t="s">
        <v>63</v>
      </c>
      <c r="E194" s="31" t="s">
        <v>62</v>
      </c>
      <c r="F194" t="s">
        <v>413</v>
      </c>
      <c r="G194" s="78" t="s">
        <v>875</v>
      </c>
      <c r="H194" s="140">
        <v>-1.3623775200446201E-3</v>
      </c>
      <c r="I194" s="140">
        <v>-3.4500000000000004E-3</v>
      </c>
    </row>
    <row r="195" spans="1:9" x14ac:dyDescent="0.25">
      <c r="A195">
        <v>3112</v>
      </c>
      <c r="B195" t="s">
        <v>308</v>
      </c>
      <c r="C195" t="s">
        <v>66</v>
      </c>
      <c r="D195" t="s">
        <v>63</v>
      </c>
      <c r="E195" s="31" t="s">
        <v>62</v>
      </c>
      <c r="F195" t="s">
        <v>413</v>
      </c>
      <c r="G195" s="78" t="s">
        <v>875</v>
      </c>
      <c r="H195" s="140">
        <v>-1.3824241944512747E-3</v>
      </c>
      <c r="I195" s="140">
        <v>-3.4500000000000004E-3</v>
      </c>
    </row>
    <row r="196" spans="1:9" x14ac:dyDescent="0.25">
      <c r="A196">
        <v>1134</v>
      </c>
      <c r="B196" t="s">
        <v>418</v>
      </c>
      <c r="C196" t="s">
        <v>167</v>
      </c>
      <c r="D196" t="s">
        <v>63</v>
      </c>
      <c r="E196" s="31" t="s">
        <v>62</v>
      </c>
      <c r="F196" t="s">
        <v>413</v>
      </c>
      <c r="G196" s="78" t="s">
        <v>875</v>
      </c>
      <c r="H196" s="140">
        <v>-4.4999999999999997E-3</v>
      </c>
      <c r="I196" s="140">
        <v>-6.4000000000000003E-3</v>
      </c>
    </row>
    <row r="197" spans="1:9" x14ac:dyDescent="0.25">
      <c r="A197">
        <v>1178</v>
      </c>
      <c r="B197" t="s">
        <v>164</v>
      </c>
      <c r="C197" t="s">
        <v>167</v>
      </c>
      <c r="D197" t="s">
        <v>63</v>
      </c>
      <c r="E197" s="31" t="s">
        <v>62</v>
      </c>
      <c r="F197" t="s">
        <v>413</v>
      </c>
      <c r="G197" s="78" t="s">
        <v>874</v>
      </c>
      <c r="H197" s="140">
        <v>0</v>
      </c>
      <c r="I197" s="140">
        <v>-8.6E-3</v>
      </c>
    </row>
    <row r="198" spans="1:9" x14ac:dyDescent="0.25">
      <c r="A198">
        <v>1193</v>
      </c>
      <c r="B198" t="s">
        <v>419</v>
      </c>
      <c r="C198" t="s">
        <v>167</v>
      </c>
      <c r="D198" t="s">
        <v>63</v>
      </c>
      <c r="E198" s="31" t="s">
        <v>62</v>
      </c>
      <c r="F198" t="s">
        <v>413</v>
      </c>
      <c r="G198" s="78" t="s">
        <v>875</v>
      </c>
      <c r="H198" s="140">
        <v>-5.5999999999999999E-3</v>
      </c>
      <c r="I198" s="140">
        <v>-8.3999999999999995E-3</v>
      </c>
    </row>
    <row r="199" spans="1:9" x14ac:dyDescent="0.25">
      <c r="A199">
        <v>332</v>
      </c>
      <c r="B199" t="s">
        <v>412</v>
      </c>
      <c r="C199" t="s">
        <v>167</v>
      </c>
      <c r="D199" t="s">
        <v>63</v>
      </c>
      <c r="E199" s="31" t="s">
        <v>62</v>
      </c>
      <c r="F199" t="s">
        <v>413</v>
      </c>
      <c r="G199" s="78" t="s">
        <v>872</v>
      </c>
      <c r="H199" s="140">
        <v>-7.0000000000000001E-3</v>
      </c>
      <c r="I199" s="140">
        <v>-8.8999999999999999E-3</v>
      </c>
    </row>
    <row r="200" spans="1:9" x14ac:dyDescent="0.25">
      <c r="A200">
        <v>348</v>
      </c>
      <c r="B200" t="s">
        <v>414</v>
      </c>
      <c r="C200" t="s">
        <v>167</v>
      </c>
      <c r="D200" t="s">
        <v>63</v>
      </c>
      <c r="E200" s="31" t="s">
        <v>62</v>
      </c>
      <c r="F200" t="s">
        <v>413</v>
      </c>
      <c r="G200" s="78" t="s">
        <v>873</v>
      </c>
      <c r="H200" s="140">
        <v>-9.3691853559122445E-3</v>
      </c>
      <c r="I200" s="140">
        <v>-9.7999999999999997E-3</v>
      </c>
    </row>
    <row r="201" spans="1:9" x14ac:dyDescent="0.25">
      <c r="A201">
        <v>1077</v>
      </c>
      <c r="B201" t="s">
        <v>417</v>
      </c>
      <c r="C201" t="s">
        <v>167</v>
      </c>
      <c r="D201" t="s">
        <v>63</v>
      </c>
      <c r="E201" s="31" t="s">
        <v>62</v>
      </c>
      <c r="F201" t="s">
        <v>413</v>
      </c>
      <c r="G201" s="78" t="s">
        <v>875</v>
      </c>
      <c r="H201" s="140">
        <v>-5.9999999999999995E-4</v>
      </c>
      <c r="I201" s="140">
        <v>-8.3999999999999995E-3</v>
      </c>
    </row>
    <row r="202" spans="1:9" x14ac:dyDescent="0.25">
      <c r="A202">
        <v>452</v>
      </c>
      <c r="B202" t="s">
        <v>415</v>
      </c>
      <c r="C202" t="s">
        <v>167</v>
      </c>
      <c r="D202" t="s">
        <v>63</v>
      </c>
      <c r="E202" s="31" t="s">
        <v>62</v>
      </c>
      <c r="F202" t="s">
        <v>413</v>
      </c>
      <c r="G202" s="78" t="s">
        <v>873</v>
      </c>
      <c r="H202" s="140">
        <v>-1.0200000000000001E-2</v>
      </c>
      <c r="I202" s="140">
        <v>-6.8999999999999999E-3</v>
      </c>
    </row>
    <row r="203" spans="1:9" x14ac:dyDescent="0.25">
      <c r="A203">
        <v>783</v>
      </c>
      <c r="B203" t="s">
        <v>416</v>
      </c>
      <c r="C203" t="s">
        <v>167</v>
      </c>
      <c r="D203" t="s">
        <v>63</v>
      </c>
      <c r="E203" s="31" t="s">
        <v>62</v>
      </c>
      <c r="F203" t="s">
        <v>413</v>
      </c>
      <c r="G203" s="78" t="s">
        <v>872</v>
      </c>
      <c r="H203" s="140">
        <v>-1.1614441061527018E-2</v>
      </c>
      <c r="I203" s="140">
        <v>-1.1017180170370917E-2</v>
      </c>
    </row>
    <row r="204" spans="1:9" x14ac:dyDescent="0.25">
      <c r="A204">
        <v>111</v>
      </c>
      <c r="B204" t="s">
        <v>338</v>
      </c>
      <c r="C204" t="s">
        <v>167</v>
      </c>
      <c r="D204" t="s">
        <v>63</v>
      </c>
      <c r="E204" t="s">
        <v>62</v>
      </c>
      <c r="F204" t="s">
        <v>336</v>
      </c>
      <c r="G204" s="78" t="s">
        <v>875</v>
      </c>
      <c r="H204" s="140">
        <v>-3.5000000000000001E-3</v>
      </c>
      <c r="I204" s="140">
        <v>-4.0000000000000001E-3</v>
      </c>
    </row>
    <row r="205" spans="1:9" x14ac:dyDescent="0.25">
      <c r="A205">
        <v>1006</v>
      </c>
      <c r="B205" t="s">
        <v>344</v>
      </c>
      <c r="C205" t="s">
        <v>167</v>
      </c>
      <c r="D205" t="s">
        <v>63</v>
      </c>
      <c r="E205" t="s">
        <v>62</v>
      </c>
      <c r="F205" t="s">
        <v>336</v>
      </c>
      <c r="G205" s="78" t="s">
        <v>875</v>
      </c>
      <c r="H205" s="140">
        <v>-4.4961825040440223E-3</v>
      </c>
      <c r="I205" s="140">
        <v>-4.4999999999999997E-3</v>
      </c>
    </row>
    <row r="206" spans="1:9" x14ac:dyDescent="0.25">
      <c r="A206">
        <v>1020</v>
      </c>
      <c r="B206" t="s">
        <v>345</v>
      </c>
      <c r="C206" t="s">
        <v>167</v>
      </c>
      <c r="D206" t="s">
        <v>63</v>
      </c>
      <c r="E206" t="s">
        <v>62</v>
      </c>
      <c r="F206" t="s">
        <v>336</v>
      </c>
      <c r="G206" s="78" t="s">
        <v>875</v>
      </c>
      <c r="H206" s="140">
        <v>-2.7549143292290071E-3</v>
      </c>
      <c r="I206" s="140">
        <v>-4.4999999999999997E-3</v>
      </c>
    </row>
    <row r="207" spans="1:9" x14ac:dyDescent="0.25">
      <c r="A207">
        <v>1189</v>
      </c>
      <c r="B207" t="s">
        <v>346</v>
      </c>
      <c r="C207" t="s">
        <v>167</v>
      </c>
      <c r="D207" t="s">
        <v>63</v>
      </c>
      <c r="E207" t="s">
        <v>62</v>
      </c>
      <c r="F207" t="s">
        <v>336</v>
      </c>
      <c r="G207" s="78" t="s">
        <v>875</v>
      </c>
      <c r="H207" s="140">
        <v>-7.3000000000000001E-3</v>
      </c>
      <c r="I207" s="140">
        <v>-8.3999999999999995E-3</v>
      </c>
    </row>
    <row r="208" spans="1:9" x14ac:dyDescent="0.25">
      <c r="A208">
        <v>3005</v>
      </c>
      <c r="B208" t="s">
        <v>347</v>
      </c>
      <c r="C208" t="s">
        <v>66</v>
      </c>
      <c r="D208" t="s">
        <v>63</v>
      </c>
      <c r="E208" t="s">
        <v>62</v>
      </c>
      <c r="F208" t="s">
        <v>336</v>
      </c>
      <c r="G208" s="78" t="s">
        <v>872</v>
      </c>
      <c r="H208" s="140">
        <v>-5.3081452805727632E-3</v>
      </c>
      <c r="I208" s="140">
        <v>-4.6936032766708088E-3</v>
      </c>
    </row>
    <row r="209" spans="1:9" x14ac:dyDescent="0.25">
      <c r="A209">
        <v>420</v>
      </c>
      <c r="B209" t="s">
        <v>342</v>
      </c>
      <c r="C209" t="s">
        <v>167</v>
      </c>
      <c r="D209" t="s">
        <v>63</v>
      </c>
      <c r="E209" t="s">
        <v>62</v>
      </c>
      <c r="F209" t="s">
        <v>336</v>
      </c>
      <c r="G209" s="78" t="s">
        <v>872</v>
      </c>
      <c r="H209" s="140">
        <v>-6.8999999999999999E-3</v>
      </c>
      <c r="I209" s="140">
        <v>-7.1000000000000004E-3</v>
      </c>
    </row>
    <row r="210" spans="1:9" x14ac:dyDescent="0.25">
      <c r="A210">
        <v>37</v>
      </c>
      <c r="B210" t="s">
        <v>335</v>
      </c>
      <c r="C210" t="s">
        <v>167</v>
      </c>
      <c r="D210" t="s">
        <v>63</v>
      </c>
      <c r="E210" t="s">
        <v>62</v>
      </c>
      <c r="F210" t="s">
        <v>336</v>
      </c>
      <c r="G210" s="78" t="s">
        <v>872</v>
      </c>
      <c r="H210" s="140">
        <v>-7.5668047181068768E-3</v>
      </c>
      <c r="I210" s="140">
        <v>-7.5311141118166386E-3</v>
      </c>
    </row>
    <row r="211" spans="1:9" x14ac:dyDescent="0.25">
      <c r="A211">
        <v>90</v>
      </c>
      <c r="B211" t="s">
        <v>337</v>
      </c>
      <c r="C211" t="s">
        <v>167</v>
      </c>
      <c r="D211" t="s">
        <v>63</v>
      </c>
      <c r="E211" t="s">
        <v>62</v>
      </c>
      <c r="F211" t="s">
        <v>336</v>
      </c>
      <c r="G211" s="78" t="s">
        <v>872</v>
      </c>
      <c r="H211" s="140">
        <v>-7.0764278426568954E-3</v>
      </c>
      <c r="I211" s="140">
        <v>-6.6E-3</v>
      </c>
    </row>
    <row r="212" spans="1:9" x14ac:dyDescent="0.25">
      <c r="A212">
        <v>228</v>
      </c>
      <c r="B212" t="s">
        <v>339</v>
      </c>
      <c r="C212" t="s">
        <v>167</v>
      </c>
      <c r="D212" t="s">
        <v>63</v>
      </c>
      <c r="E212" t="s">
        <v>62</v>
      </c>
      <c r="F212" t="s">
        <v>336</v>
      </c>
      <c r="G212" s="78" t="s">
        <v>872</v>
      </c>
      <c r="H212" s="140">
        <v>-4.4000000000000003E-3</v>
      </c>
      <c r="I212" s="140">
        <v>-4.4000000000000003E-3</v>
      </c>
    </row>
    <row r="213" spans="1:9" x14ac:dyDescent="0.25">
      <c r="A213">
        <v>240</v>
      </c>
      <c r="B213" t="s">
        <v>340</v>
      </c>
      <c r="C213" t="s">
        <v>167</v>
      </c>
      <c r="D213" t="s">
        <v>63</v>
      </c>
      <c r="E213" t="s">
        <v>62</v>
      </c>
      <c r="F213" t="s">
        <v>336</v>
      </c>
      <c r="G213" s="78" t="s">
        <v>872</v>
      </c>
      <c r="H213" s="140">
        <v>-3.6222806529286806E-3</v>
      </c>
      <c r="I213" s="140">
        <v>-4.4999999999999997E-3</v>
      </c>
    </row>
    <row r="214" spans="1:9" x14ac:dyDescent="0.25">
      <c r="A214">
        <v>306</v>
      </c>
      <c r="B214" t="s">
        <v>341</v>
      </c>
      <c r="C214" t="s">
        <v>167</v>
      </c>
      <c r="D214" t="s">
        <v>63</v>
      </c>
      <c r="E214" t="s">
        <v>62</v>
      </c>
      <c r="F214" t="s">
        <v>336</v>
      </c>
      <c r="G214" s="78" t="s">
        <v>872</v>
      </c>
      <c r="H214" s="140">
        <v>-5.1999999999999998E-3</v>
      </c>
      <c r="I214" s="140">
        <v>-4.0000000000000001E-3</v>
      </c>
    </row>
    <row r="215" spans="1:9" x14ac:dyDescent="0.25">
      <c r="A215">
        <v>438</v>
      </c>
      <c r="B215" t="s">
        <v>343</v>
      </c>
      <c r="C215" t="s">
        <v>167</v>
      </c>
      <c r="D215" t="s">
        <v>63</v>
      </c>
      <c r="E215" t="s">
        <v>62</v>
      </c>
      <c r="F215" t="s">
        <v>336</v>
      </c>
      <c r="G215" s="78" t="s">
        <v>872</v>
      </c>
      <c r="H215" s="140">
        <v>-7.3701135438503105E-3</v>
      </c>
      <c r="I215" s="140">
        <v>-7.5127610825878495E-3</v>
      </c>
    </row>
    <row r="216" spans="1:9" x14ac:dyDescent="0.25">
      <c r="A216">
        <v>3004</v>
      </c>
      <c r="B216" t="s">
        <v>431</v>
      </c>
      <c r="C216" t="s">
        <v>66</v>
      </c>
      <c r="D216" t="s">
        <v>63</v>
      </c>
      <c r="E216" t="s">
        <v>62</v>
      </c>
      <c r="F216" t="s">
        <v>422</v>
      </c>
      <c r="G216" s="78" t="s">
        <v>875</v>
      </c>
      <c r="H216" s="140">
        <v>-3.4264431620149307E-4</v>
      </c>
      <c r="I216" s="140">
        <v>-3.4500000000000004E-3</v>
      </c>
    </row>
    <row r="217" spans="1:9" x14ac:dyDescent="0.25">
      <c r="A217">
        <v>3008</v>
      </c>
      <c r="B217" t="s">
        <v>432</v>
      </c>
      <c r="C217" t="s">
        <v>66</v>
      </c>
      <c r="D217" t="s">
        <v>63</v>
      </c>
      <c r="E217" t="s">
        <v>62</v>
      </c>
      <c r="F217" t="s">
        <v>422</v>
      </c>
      <c r="G217" s="78" t="s">
        <v>875</v>
      </c>
      <c r="H217" s="140">
        <v>-2.1848413008002826E-3</v>
      </c>
      <c r="I217" s="140">
        <v>-3.4500000000000004E-3</v>
      </c>
    </row>
    <row r="218" spans="1:9" x14ac:dyDescent="0.25">
      <c r="A218">
        <v>3034</v>
      </c>
      <c r="B218" t="s">
        <v>421</v>
      </c>
      <c r="C218" t="s">
        <v>66</v>
      </c>
      <c r="D218" t="s">
        <v>63</v>
      </c>
      <c r="E218" t="s">
        <v>62</v>
      </c>
      <c r="F218" t="s">
        <v>422</v>
      </c>
      <c r="G218" s="78" t="s">
        <v>875</v>
      </c>
      <c r="H218" s="140">
        <v>-3.3004865200671473E-4</v>
      </c>
      <c r="I218" s="140">
        <v>-3.4500000000000004E-3</v>
      </c>
    </row>
    <row r="219" spans="1:9" x14ac:dyDescent="0.25">
      <c r="A219">
        <v>3077</v>
      </c>
      <c r="B219" t="s">
        <v>425</v>
      </c>
      <c r="C219" t="s">
        <v>66</v>
      </c>
      <c r="D219" t="s">
        <v>63</v>
      </c>
      <c r="E219" t="s">
        <v>62</v>
      </c>
      <c r="F219" t="s">
        <v>422</v>
      </c>
      <c r="G219" s="78" t="s">
        <v>875</v>
      </c>
      <c r="H219" s="140">
        <v>-3.6411763269074823E-3</v>
      </c>
      <c r="I219" s="140">
        <v>-5.4999999999999997E-3</v>
      </c>
    </row>
    <row r="220" spans="1:9" x14ac:dyDescent="0.25">
      <c r="A220">
        <v>109</v>
      </c>
      <c r="B220" t="s">
        <v>421</v>
      </c>
      <c r="C220" t="s">
        <v>167</v>
      </c>
      <c r="D220" t="s">
        <v>63</v>
      </c>
      <c r="E220" t="s">
        <v>62</v>
      </c>
      <c r="F220" t="s">
        <v>422</v>
      </c>
      <c r="G220" s="78" t="s">
        <v>875</v>
      </c>
      <c r="H220" s="140">
        <v>-5.1359191406879683E-3</v>
      </c>
      <c r="I220" s="140">
        <v>-5.0000000000000001E-3</v>
      </c>
    </row>
    <row r="221" spans="1:9" x14ac:dyDescent="0.25">
      <c r="A221">
        <v>711</v>
      </c>
      <c r="B221" t="s">
        <v>427</v>
      </c>
      <c r="C221" t="s">
        <v>167</v>
      </c>
      <c r="D221" t="s">
        <v>63</v>
      </c>
      <c r="E221" t="s">
        <v>62</v>
      </c>
      <c r="F221" t="s">
        <v>422</v>
      </c>
      <c r="G221" s="78" t="s">
        <v>875</v>
      </c>
      <c r="H221" s="140">
        <v>-2.6123135949907123E-3</v>
      </c>
      <c r="I221" s="140">
        <v>-4.4999999999999997E-3</v>
      </c>
    </row>
    <row r="222" spans="1:9" x14ac:dyDescent="0.25">
      <c r="A222">
        <v>1073</v>
      </c>
      <c r="B222" t="s">
        <v>429</v>
      </c>
      <c r="C222" t="s">
        <v>167</v>
      </c>
      <c r="D222" t="s">
        <v>63</v>
      </c>
      <c r="E222" t="s">
        <v>62</v>
      </c>
      <c r="F222" t="s">
        <v>422</v>
      </c>
      <c r="G222" s="78" t="s">
        <v>874</v>
      </c>
      <c r="H222" s="140">
        <v>-1.0107675923236494E-2</v>
      </c>
      <c r="I222" s="140">
        <v>-1.0107675923236496E-2</v>
      </c>
    </row>
    <row r="223" spans="1:9" x14ac:dyDescent="0.25">
      <c r="A223">
        <v>1187</v>
      </c>
      <c r="B223" t="s">
        <v>430</v>
      </c>
      <c r="C223" t="s">
        <v>167</v>
      </c>
      <c r="D223" t="s">
        <v>63</v>
      </c>
      <c r="E223" t="s">
        <v>62</v>
      </c>
      <c r="F223" t="s">
        <v>422</v>
      </c>
      <c r="G223" s="78" t="s">
        <v>875</v>
      </c>
      <c r="H223" s="140">
        <v>-3.2000000000000002E-3</v>
      </c>
      <c r="I223" s="140">
        <v>-8.3999999999999995E-3</v>
      </c>
    </row>
    <row r="224" spans="1:9" x14ac:dyDescent="0.25">
      <c r="A224">
        <v>1212</v>
      </c>
      <c r="B224" t="s">
        <v>889</v>
      </c>
      <c r="C224" t="s">
        <v>167</v>
      </c>
      <c r="D224" t="s">
        <v>63</v>
      </c>
      <c r="E224" t="s">
        <v>62</v>
      </c>
      <c r="F224" t="s">
        <v>422</v>
      </c>
      <c r="G224" s="78" t="s">
        <v>874</v>
      </c>
      <c r="H224" s="140" t="s">
        <v>876</v>
      </c>
      <c r="I224" s="140"/>
    </row>
    <row r="225" spans="1:9" x14ac:dyDescent="0.25">
      <c r="A225">
        <v>1230</v>
      </c>
      <c r="B225" t="s">
        <v>890</v>
      </c>
      <c r="C225" t="s">
        <v>167</v>
      </c>
      <c r="D225" t="s">
        <v>63</v>
      </c>
      <c r="E225" t="s">
        <v>62</v>
      </c>
      <c r="F225" t="s">
        <v>422</v>
      </c>
      <c r="G225" s="78" t="s">
        <v>874</v>
      </c>
      <c r="H225" s="140" t="s">
        <v>876</v>
      </c>
      <c r="I225" s="140"/>
    </row>
    <row r="226" spans="1:9" x14ac:dyDescent="0.25">
      <c r="A226">
        <v>131</v>
      </c>
      <c r="B226" t="s">
        <v>423</v>
      </c>
      <c r="C226" t="s">
        <v>167</v>
      </c>
      <c r="D226" t="s">
        <v>63</v>
      </c>
      <c r="E226" t="s">
        <v>62</v>
      </c>
      <c r="F226" t="s">
        <v>422</v>
      </c>
      <c r="G226" s="78" t="s">
        <v>872</v>
      </c>
      <c r="H226" s="140">
        <v>-4.6451790676930085E-3</v>
      </c>
      <c r="I226" s="140">
        <v>-4.9158343764945959E-3</v>
      </c>
    </row>
    <row r="227" spans="1:9" x14ac:dyDescent="0.25">
      <c r="A227">
        <v>177</v>
      </c>
      <c r="B227" t="s">
        <v>424</v>
      </c>
      <c r="C227" t="s">
        <v>167</v>
      </c>
      <c r="D227" t="s">
        <v>63</v>
      </c>
      <c r="E227" t="s">
        <v>62</v>
      </c>
      <c r="F227" t="s">
        <v>422</v>
      </c>
      <c r="G227" s="78" t="s">
        <v>872</v>
      </c>
      <c r="H227" s="140">
        <v>-6.6190159019505227E-3</v>
      </c>
      <c r="I227" s="140">
        <v>-6.1426685907545447E-3</v>
      </c>
    </row>
    <row r="228" spans="1:9" x14ac:dyDescent="0.25">
      <c r="A228">
        <v>178</v>
      </c>
      <c r="B228" t="s">
        <v>425</v>
      </c>
      <c r="C228" t="s">
        <v>167</v>
      </c>
      <c r="D228" t="s">
        <v>63</v>
      </c>
      <c r="E228" t="s">
        <v>62</v>
      </c>
      <c r="F228" t="s">
        <v>422</v>
      </c>
      <c r="G228" s="78" t="s">
        <v>872</v>
      </c>
      <c r="H228" s="140">
        <v>-5.4000000000000003E-3</v>
      </c>
      <c r="I228" s="140">
        <v>-6.4000000000000003E-3</v>
      </c>
    </row>
    <row r="229" spans="1:9" x14ac:dyDescent="0.25">
      <c r="A229">
        <v>380</v>
      </c>
      <c r="B229" t="s">
        <v>426</v>
      </c>
      <c r="C229" t="s">
        <v>167</v>
      </c>
      <c r="D229" t="s">
        <v>63</v>
      </c>
      <c r="E229" t="s">
        <v>62</v>
      </c>
      <c r="F229" t="s">
        <v>422</v>
      </c>
      <c r="G229" s="78" t="s">
        <v>872</v>
      </c>
      <c r="H229" s="140">
        <v>-5.3909551610619539E-3</v>
      </c>
      <c r="I229" s="140">
        <v>-5.3251548564226146E-3</v>
      </c>
    </row>
    <row r="230" spans="1:9" x14ac:dyDescent="0.25">
      <c r="A230">
        <v>753</v>
      </c>
      <c r="B230" t="s">
        <v>428</v>
      </c>
      <c r="C230" t="s">
        <v>167</v>
      </c>
      <c r="D230" t="s">
        <v>63</v>
      </c>
      <c r="E230" t="s">
        <v>62</v>
      </c>
      <c r="F230" t="s">
        <v>422</v>
      </c>
      <c r="G230" s="78" t="s">
        <v>872</v>
      </c>
      <c r="H230" s="140">
        <v>-4.8999999999999998E-3</v>
      </c>
      <c r="I230" s="140">
        <v>-4.1999999999999997E-3</v>
      </c>
    </row>
    <row r="231" spans="1:9" x14ac:dyDescent="0.25">
      <c r="A231">
        <v>3079</v>
      </c>
      <c r="B231" t="s">
        <v>434</v>
      </c>
      <c r="C231" t="s">
        <v>66</v>
      </c>
      <c r="D231" t="s">
        <v>168</v>
      </c>
      <c r="E231" t="s">
        <v>60</v>
      </c>
      <c r="F231" t="s">
        <v>434</v>
      </c>
      <c r="G231" s="78" t="s">
        <v>875</v>
      </c>
      <c r="H231" s="140">
        <v>-8.9209949474509801E-4</v>
      </c>
      <c r="I231" s="140">
        <v>-3.4500000000000004E-3</v>
      </c>
    </row>
    <row r="232" spans="1:9" x14ac:dyDescent="0.25">
      <c r="A232">
        <v>253</v>
      </c>
      <c r="B232" t="s">
        <v>439</v>
      </c>
      <c r="C232" t="s">
        <v>167</v>
      </c>
      <c r="D232" t="s">
        <v>168</v>
      </c>
      <c r="E232" t="s">
        <v>60</v>
      </c>
      <c r="F232" t="s">
        <v>434</v>
      </c>
      <c r="G232" s="78" t="s">
        <v>875</v>
      </c>
      <c r="H232" s="140">
        <v>-4.0453821169527887E-3</v>
      </c>
      <c r="I232" s="140">
        <v>-4.4999999999999997E-3</v>
      </c>
    </row>
    <row r="233" spans="1:9" x14ac:dyDescent="0.25">
      <c r="A233">
        <v>1085</v>
      </c>
      <c r="B233" t="s">
        <v>440</v>
      </c>
      <c r="C233" t="s">
        <v>167</v>
      </c>
      <c r="D233" t="s">
        <v>168</v>
      </c>
      <c r="E233" s="31" t="s">
        <v>60</v>
      </c>
      <c r="F233" t="s">
        <v>434</v>
      </c>
      <c r="G233" s="78" t="s">
        <v>875</v>
      </c>
      <c r="H233" s="140">
        <v>-5.9999999999999995E-4</v>
      </c>
      <c r="I233" s="140">
        <v>-3.8999999999999998E-3</v>
      </c>
    </row>
    <row r="234" spans="1:9" x14ac:dyDescent="0.25">
      <c r="A234">
        <v>150</v>
      </c>
      <c r="B234" t="s">
        <v>436</v>
      </c>
      <c r="C234" t="s">
        <v>167</v>
      </c>
      <c r="D234" t="s">
        <v>168</v>
      </c>
      <c r="E234" s="31" t="s">
        <v>60</v>
      </c>
      <c r="F234" t="s">
        <v>434</v>
      </c>
      <c r="G234" s="78" t="s">
        <v>873</v>
      </c>
      <c r="H234" s="140">
        <v>-4.1432821692520072E-3</v>
      </c>
      <c r="I234" s="140">
        <v>-4.4999999999999997E-3</v>
      </c>
    </row>
    <row r="235" spans="1:9" x14ac:dyDescent="0.25">
      <c r="A235">
        <v>159</v>
      </c>
      <c r="B235" t="s">
        <v>437</v>
      </c>
      <c r="C235" t="s">
        <v>167</v>
      </c>
      <c r="D235" t="s">
        <v>168</v>
      </c>
      <c r="E235" s="31" t="s">
        <v>60</v>
      </c>
      <c r="F235" t="s">
        <v>434</v>
      </c>
      <c r="G235" s="78" t="s">
        <v>875</v>
      </c>
      <c r="H235" s="140">
        <v>-3.5000000000000001E-3</v>
      </c>
      <c r="I235" s="140">
        <v>-7.7999999999999996E-3</v>
      </c>
    </row>
    <row r="236" spans="1:9" x14ac:dyDescent="0.25">
      <c r="A236">
        <v>667</v>
      </c>
      <c r="B236" t="s">
        <v>434</v>
      </c>
      <c r="C236" t="s">
        <v>167</v>
      </c>
      <c r="D236" t="s">
        <v>168</v>
      </c>
      <c r="E236" s="31" t="s">
        <v>60</v>
      </c>
      <c r="F236" t="s">
        <v>434</v>
      </c>
      <c r="G236" s="78" t="s">
        <v>873</v>
      </c>
      <c r="H236" s="140">
        <v>-9.8123567168766808E-3</v>
      </c>
      <c r="I236" s="140">
        <v>-9.5264704103970917E-3</v>
      </c>
    </row>
    <row r="237" spans="1:9" x14ac:dyDescent="0.25">
      <c r="A237">
        <v>20</v>
      </c>
      <c r="B237" t="s">
        <v>433</v>
      </c>
      <c r="C237" t="s">
        <v>167</v>
      </c>
      <c r="D237" t="s">
        <v>168</v>
      </c>
      <c r="E237" s="31" t="s">
        <v>60</v>
      </c>
      <c r="F237" t="s">
        <v>434</v>
      </c>
      <c r="G237" s="78" t="s">
        <v>872</v>
      </c>
      <c r="H237" s="140">
        <v>-5.1000000000000004E-3</v>
      </c>
      <c r="I237" s="140">
        <v>-5.1000000000000004E-3</v>
      </c>
    </row>
    <row r="238" spans="1:9" x14ac:dyDescent="0.25">
      <c r="A238">
        <v>22</v>
      </c>
      <c r="B238" t="s">
        <v>435</v>
      </c>
      <c r="C238" t="s">
        <v>167</v>
      </c>
      <c r="D238" t="s">
        <v>168</v>
      </c>
      <c r="E238" s="31" t="s">
        <v>60</v>
      </c>
      <c r="F238" t="s">
        <v>434</v>
      </c>
      <c r="G238" s="78" t="s">
        <v>872</v>
      </c>
      <c r="H238" s="140">
        <v>-5.3482814765472026E-3</v>
      </c>
      <c r="I238" s="140">
        <v>-5.6237839556131453E-3</v>
      </c>
    </row>
    <row r="239" spans="1:9" x14ac:dyDescent="0.25">
      <c r="A239">
        <v>164</v>
      </c>
      <c r="B239" t="s">
        <v>438</v>
      </c>
      <c r="C239" t="s">
        <v>167</v>
      </c>
      <c r="D239" t="s">
        <v>168</v>
      </c>
      <c r="E239" s="31" t="s">
        <v>60</v>
      </c>
      <c r="F239" t="s">
        <v>434</v>
      </c>
      <c r="G239" s="78" t="s">
        <v>872</v>
      </c>
      <c r="H239" s="140">
        <v>-5.8815617774768394E-3</v>
      </c>
      <c r="I239" s="140">
        <v>-6.2180579150207657E-3</v>
      </c>
    </row>
    <row r="240" spans="1:9" x14ac:dyDescent="0.25">
      <c r="A240">
        <v>3104</v>
      </c>
      <c r="B240" t="s">
        <v>436</v>
      </c>
      <c r="C240" t="s">
        <v>66</v>
      </c>
      <c r="D240" t="s">
        <v>168</v>
      </c>
      <c r="E240" s="31" t="s">
        <v>60</v>
      </c>
      <c r="F240" s="31" t="s">
        <v>442</v>
      </c>
      <c r="G240" s="78" t="s">
        <v>875</v>
      </c>
      <c r="H240" s="140">
        <v>-3.9978305836279298E-3</v>
      </c>
      <c r="I240" s="140">
        <v>-4.0499999999999998E-3</v>
      </c>
    </row>
    <row r="241" spans="1:9" x14ac:dyDescent="0.25">
      <c r="A241">
        <v>151</v>
      </c>
      <c r="B241" t="s">
        <v>441</v>
      </c>
      <c r="C241" t="s">
        <v>167</v>
      </c>
      <c r="D241" t="s">
        <v>168</v>
      </c>
      <c r="E241" s="31" t="s">
        <v>60</v>
      </c>
      <c r="F241" t="s">
        <v>442</v>
      </c>
      <c r="G241" s="78" t="s">
        <v>875</v>
      </c>
      <c r="H241" s="140">
        <v>-7.0000000000000001E-3</v>
      </c>
      <c r="I241" s="140">
        <v>-9.5999999999999992E-3</v>
      </c>
    </row>
    <row r="242" spans="1:9" x14ac:dyDescent="0.25">
      <c r="A242">
        <v>236</v>
      </c>
      <c r="B242" t="s">
        <v>445</v>
      </c>
      <c r="C242" t="s">
        <v>167</v>
      </c>
      <c r="D242" t="s">
        <v>168</v>
      </c>
      <c r="E242" s="31" t="s">
        <v>60</v>
      </c>
      <c r="F242" t="s">
        <v>442</v>
      </c>
      <c r="G242" s="78" t="s">
        <v>873</v>
      </c>
      <c r="H242" s="140">
        <v>-1.3109147248057075E-2</v>
      </c>
      <c r="I242" s="140">
        <v>-1.2449582671770102E-2</v>
      </c>
    </row>
    <row r="243" spans="1:9" x14ac:dyDescent="0.25">
      <c r="A243">
        <v>238</v>
      </c>
      <c r="B243" t="s">
        <v>446</v>
      </c>
      <c r="C243" t="s">
        <v>167</v>
      </c>
      <c r="D243" t="s">
        <v>168</v>
      </c>
      <c r="E243" t="s">
        <v>60</v>
      </c>
      <c r="F243" t="s">
        <v>442</v>
      </c>
      <c r="G243" s="78" t="s">
        <v>873</v>
      </c>
      <c r="H243" s="140">
        <v>-1.7124259372810001E-2</v>
      </c>
      <c r="I243" s="140">
        <v>-1.4500000000000001E-2</v>
      </c>
    </row>
    <row r="244" spans="1:9" x14ac:dyDescent="0.25">
      <c r="A244">
        <v>255</v>
      </c>
      <c r="B244" t="s">
        <v>447</v>
      </c>
      <c r="C244" t="s">
        <v>167</v>
      </c>
      <c r="D244" t="s">
        <v>168</v>
      </c>
      <c r="E244" s="31" t="s">
        <v>60</v>
      </c>
      <c r="F244" t="s">
        <v>442</v>
      </c>
      <c r="G244" s="78" t="s">
        <v>873</v>
      </c>
      <c r="H244" s="140">
        <v>-9.8899107460073323E-3</v>
      </c>
      <c r="I244" s="140">
        <v>-9.684115260776633E-3</v>
      </c>
    </row>
    <row r="245" spans="1:9" x14ac:dyDescent="0.25">
      <c r="A245">
        <v>162</v>
      </c>
      <c r="B245" t="s">
        <v>443</v>
      </c>
      <c r="C245" t="s">
        <v>167</v>
      </c>
      <c r="D245" t="s">
        <v>168</v>
      </c>
      <c r="E245" s="31" t="s">
        <v>60</v>
      </c>
      <c r="F245" t="s">
        <v>442</v>
      </c>
      <c r="G245" s="78" t="s">
        <v>875</v>
      </c>
      <c r="H245" s="140">
        <v>-5.4999999999999997E-3</v>
      </c>
      <c r="I245" s="140">
        <v>-6.3E-3</v>
      </c>
    </row>
    <row r="246" spans="1:9" x14ac:dyDescent="0.25">
      <c r="A246">
        <v>186</v>
      </c>
      <c r="B246" t="s">
        <v>444</v>
      </c>
      <c r="C246" t="s">
        <v>167</v>
      </c>
      <c r="D246" t="s">
        <v>168</v>
      </c>
      <c r="E246" s="31" t="s">
        <v>60</v>
      </c>
      <c r="F246" t="s">
        <v>442</v>
      </c>
      <c r="G246" s="78" t="s">
        <v>872</v>
      </c>
      <c r="H246" s="140">
        <v>-8.5000000000000006E-3</v>
      </c>
      <c r="I246" s="140">
        <v>-7.7000000000000002E-3</v>
      </c>
    </row>
    <row r="247" spans="1:9" x14ac:dyDescent="0.25">
      <c r="A247">
        <v>304</v>
      </c>
      <c r="B247" t="s">
        <v>448</v>
      </c>
      <c r="C247" t="s">
        <v>167</v>
      </c>
      <c r="D247" t="s">
        <v>168</v>
      </c>
      <c r="E247" s="31" t="s">
        <v>60</v>
      </c>
      <c r="F247" t="s">
        <v>442</v>
      </c>
      <c r="G247" s="78" t="s">
        <v>872</v>
      </c>
      <c r="H247" s="140">
        <v>-9.9840886709029967E-3</v>
      </c>
      <c r="I247" s="140">
        <v>-9.9519647794815876E-3</v>
      </c>
    </row>
    <row r="248" spans="1:9" x14ac:dyDescent="0.25">
      <c r="A248">
        <v>1027</v>
      </c>
      <c r="B248" t="s">
        <v>449</v>
      </c>
      <c r="C248" t="s">
        <v>167</v>
      </c>
      <c r="D248" t="s">
        <v>168</v>
      </c>
      <c r="E248" s="31" t="s">
        <v>60</v>
      </c>
      <c r="F248" t="s">
        <v>442</v>
      </c>
      <c r="G248" s="78" t="s">
        <v>872</v>
      </c>
      <c r="H248" s="140">
        <v>-7.0000000000000001E-3</v>
      </c>
      <c r="I248" s="140">
        <v>-6.7000000000000002E-3</v>
      </c>
    </row>
    <row r="249" spans="1:9" x14ac:dyDescent="0.25">
      <c r="A249">
        <v>1030</v>
      </c>
      <c r="B249" t="s">
        <v>450</v>
      </c>
      <c r="C249" t="s">
        <v>167</v>
      </c>
      <c r="D249" t="s">
        <v>168</v>
      </c>
      <c r="E249" s="31" t="s">
        <v>60</v>
      </c>
      <c r="F249" t="s">
        <v>442</v>
      </c>
      <c r="G249" s="78" t="s">
        <v>872</v>
      </c>
      <c r="H249" s="140">
        <v>-8.7652989764733496E-3</v>
      </c>
      <c r="I249" s="140">
        <v>-8.8105195115013892E-3</v>
      </c>
    </row>
    <row r="250" spans="1:9" x14ac:dyDescent="0.25">
      <c r="A250">
        <v>3065</v>
      </c>
      <c r="B250" t="s">
        <v>516</v>
      </c>
      <c r="C250" t="s">
        <v>66</v>
      </c>
      <c r="D250" t="s">
        <v>168</v>
      </c>
      <c r="E250" s="31" t="s">
        <v>60</v>
      </c>
      <c r="F250" t="s">
        <v>507</v>
      </c>
      <c r="G250" s="78" t="s">
        <v>872</v>
      </c>
      <c r="H250" s="140">
        <v>-8.3999999999999995E-3</v>
      </c>
      <c r="I250" s="140">
        <v>-1.15E-2</v>
      </c>
    </row>
    <row r="251" spans="1:9" x14ac:dyDescent="0.25">
      <c r="A251">
        <v>1</v>
      </c>
      <c r="B251" t="s">
        <v>506</v>
      </c>
      <c r="C251" t="s">
        <v>167</v>
      </c>
      <c r="D251" t="s">
        <v>168</v>
      </c>
      <c r="E251" s="31" t="s">
        <v>60</v>
      </c>
      <c r="F251" t="s">
        <v>507</v>
      </c>
      <c r="G251" s="78" t="s">
        <v>875</v>
      </c>
      <c r="H251" s="140">
        <v>-2.8082419974643754E-3</v>
      </c>
      <c r="I251" s="140">
        <v>-4.4999999999999997E-3</v>
      </c>
    </row>
    <row r="252" spans="1:9" x14ac:dyDescent="0.25">
      <c r="A252">
        <v>156</v>
      </c>
      <c r="B252" t="s">
        <v>511</v>
      </c>
      <c r="C252" t="s">
        <v>167</v>
      </c>
      <c r="D252" t="s">
        <v>168</v>
      </c>
      <c r="E252" s="31" t="s">
        <v>60</v>
      </c>
      <c r="F252" t="s">
        <v>507</v>
      </c>
      <c r="G252" s="78" t="s">
        <v>875</v>
      </c>
      <c r="H252" s="140">
        <v>-5.1309450356191427E-3</v>
      </c>
      <c r="I252" s="140">
        <v>-5.1736790747290992E-3</v>
      </c>
    </row>
    <row r="253" spans="1:9" x14ac:dyDescent="0.25">
      <c r="A253">
        <v>705</v>
      </c>
      <c r="B253" t="s">
        <v>513</v>
      </c>
      <c r="C253" t="s">
        <v>167</v>
      </c>
      <c r="D253" t="s">
        <v>168</v>
      </c>
      <c r="E253" s="31" t="s">
        <v>60</v>
      </c>
      <c r="F253" t="s">
        <v>507</v>
      </c>
      <c r="G253" s="78" t="s">
        <v>875</v>
      </c>
      <c r="H253" s="140">
        <v>-5.2379029435082698E-3</v>
      </c>
      <c r="I253" s="140">
        <v>-5.1587906944985055E-3</v>
      </c>
    </row>
    <row r="254" spans="1:9" x14ac:dyDescent="0.25">
      <c r="A254">
        <v>782</v>
      </c>
      <c r="B254" t="s">
        <v>515</v>
      </c>
      <c r="C254" t="s">
        <v>167</v>
      </c>
      <c r="D254" t="s">
        <v>168</v>
      </c>
      <c r="E254" t="s">
        <v>60</v>
      </c>
      <c r="F254" t="s">
        <v>507</v>
      </c>
      <c r="G254" s="78" t="s">
        <v>875</v>
      </c>
      <c r="H254" s="140">
        <v>-2.996608305730395E-3</v>
      </c>
      <c r="I254" s="140">
        <v>-4.4999999999999997E-3</v>
      </c>
    </row>
    <row r="255" spans="1:9" x14ac:dyDescent="0.25">
      <c r="A255">
        <v>1243</v>
      </c>
      <c r="B255" t="s">
        <v>893</v>
      </c>
      <c r="C255" t="s">
        <v>167</v>
      </c>
      <c r="D255" t="s">
        <v>168</v>
      </c>
      <c r="E255" t="s">
        <v>60</v>
      </c>
      <c r="F255" t="s">
        <v>507</v>
      </c>
      <c r="G255" s="78" t="s">
        <v>874</v>
      </c>
      <c r="H255" s="140" t="s">
        <v>876</v>
      </c>
      <c r="I255" s="140"/>
    </row>
    <row r="256" spans="1:9" x14ac:dyDescent="0.25">
      <c r="A256">
        <v>158</v>
      </c>
      <c r="B256" t="s">
        <v>512</v>
      </c>
      <c r="C256" t="s">
        <v>167</v>
      </c>
      <c r="D256" t="s">
        <v>168</v>
      </c>
      <c r="E256" t="s">
        <v>60</v>
      </c>
      <c r="F256" t="s">
        <v>507</v>
      </c>
      <c r="G256" s="78" t="s">
        <v>872</v>
      </c>
      <c r="H256" s="140">
        <v>-6.6E-3</v>
      </c>
      <c r="I256" s="140">
        <v>-6.1999999999999998E-3</v>
      </c>
    </row>
    <row r="257" spans="1:9" x14ac:dyDescent="0.25">
      <c r="A257">
        <v>1046</v>
      </c>
      <c r="B257" t="s">
        <v>516</v>
      </c>
      <c r="C257" t="s">
        <v>167</v>
      </c>
      <c r="D257" t="s">
        <v>168</v>
      </c>
      <c r="E257" t="s">
        <v>60</v>
      </c>
      <c r="F257" t="s">
        <v>507</v>
      </c>
      <c r="G257" s="78" t="s">
        <v>873</v>
      </c>
      <c r="H257" s="140">
        <v>-1.3266845438234016E-2</v>
      </c>
      <c r="I257" s="140">
        <v>-1.2781444558301547E-2</v>
      </c>
    </row>
    <row r="258" spans="1:9" x14ac:dyDescent="0.25">
      <c r="A258">
        <v>2</v>
      </c>
      <c r="B258" t="s">
        <v>508</v>
      </c>
      <c r="C258" t="s">
        <v>167</v>
      </c>
      <c r="D258" t="s">
        <v>168</v>
      </c>
      <c r="E258" t="s">
        <v>60</v>
      </c>
      <c r="F258" t="s">
        <v>507</v>
      </c>
      <c r="G258" s="78" t="s">
        <v>875</v>
      </c>
      <c r="H258" s="140">
        <v>-5.0000000000000001E-3</v>
      </c>
      <c r="I258" s="140">
        <v>-5.1000000000000004E-3</v>
      </c>
    </row>
    <row r="259" spans="1:9" x14ac:dyDescent="0.25">
      <c r="A259">
        <v>3</v>
      </c>
      <c r="B259" t="s">
        <v>509</v>
      </c>
      <c r="C259" t="s">
        <v>167</v>
      </c>
      <c r="D259" t="s">
        <v>168</v>
      </c>
      <c r="E259" t="s">
        <v>60</v>
      </c>
      <c r="F259" t="s">
        <v>507</v>
      </c>
      <c r="G259" s="78" t="s">
        <v>875</v>
      </c>
      <c r="H259" s="140">
        <v>-4.5999999999999999E-3</v>
      </c>
      <c r="I259" s="140">
        <v>-5.4000000000000003E-3</v>
      </c>
    </row>
    <row r="260" spans="1:9" x14ac:dyDescent="0.25">
      <c r="A260">
        <v>4</v>
      </c>
      <c r="B260" t="s">
        <v>510</v>
      </c>
      <c r="C260" t="s">
        <v>167</v>
      </c>
      <c r="D260" t="s">
        <v>168</v>
      </c>
      <c r="E260" t="s">
        <v>60</v>
      </c>
      <c r="F260" t="s">
        <v>507</v>
      </c>
      <c r="G260" s="78" t="s">
        <v>872</v>
      </c>
      <c r="H260" s="140">
        <v>-5.503602990124464E-3</v>
      </c>
      <c r="I260" s="140">
        <v>-5.3433039467919181E-3</v>
      </c>
    </row>
    <row r="261" spans="1:9" x14ac:dyDescent="0.25">
      <c r="A261">
        <v>756</v>
      </c>
      <c r="B261" t="s">
        <v>514</v>
      </c>
      <c r="C261" t="s">
        <v>167</v>
      </c>
      <c r="D261" t="s">
        <v>168</v>
      </c>
      <c r="E261" t="s">
        <v>60</v>
      </c>
      <c r="F261" t="s">
        <v>507</v>
      </c>
      <c r="G261" s="78" t="s">
        <v>872</v>
      </c>
      <c r="H261" s="140">
        <v>-7.3899965623999194E-3</v>
      </c>
      <c r="I261" s="140">
        <v>-6.7817415088887879E-3</v>
      </c>
    </row>
    <row r="262" spans="1:9" x14ac:dyDescent="0.25">
      <c r="A262">
        <v>3073</v>
      </c>
      <c r="B262" t="s">
        <v>458</v>
      </c>
      <c r="C262" t="s">
        <v>66</v>
      </c>
      <c r="D262" t="s">
        <v>168</v>
      </c>
      <c r="E262" t="s">
        <v>60</v>
      </c>
      <c r="F262" t="s">
        <v>452</v>
      </c>
      <c r="G262" s="78" t="s">
        <v>875</v>
      </c>
      <c r="H262" s="140">
        <v>-4.3003996984901788E-3</v>
      </c>
      <c r="I262" s="140">
        <v>-4.4000000000000003E-3</v>
      </c>
    </row>
    <row r="263" spans="1:9" x14ac:dyDescent="0.25">
      <c r="A263">
        <v>1246</v>
      </c>
      <c r="B263" t="s">
        <v>891</v>
      </c>
      <c r="C263" t="s">
        <v>167</v>
      </c>
      <c r="D263" t="s">
        <v>168</v>
      </c>
      <c r="E263" t="s">
        <v>60</v>
      </c>
      <c r="F263" t="s">
        <v>452</v>
      </c>
      <c r="G263" s="78" t="s">
        <v>874</v>
      </c>
      <c r="H263" s="140" t="s">
        <v>876</v>
      </c>
      <c r="I263" s="140"/>
    </row>
    <row r="264" spans="1:9" x14ac:dyDescent="0.25">
      <c r="A264">
        <v>32</v>
      </c>
      <c r="B264" t="s">
        <v>451</v>
      </c>
      <c r="C264" t="s">
        <v>167</v>
      </c>
      <c r="D264" t="s">
        <v>168</v>
      </c>
      <c r="E264" t="s">
        <v>60</v>
      </c>
      <c r="F264" t="s">
        <v>452</v>
      </c>
      <c r="G264" s="78" t="s">
        <v>873</v>
      </c>
      <c r="H264" s="140">
        <v>-1.0057851526262315E-2</v>
      </c>
      <c r="I264" s="140">
        <v>-9.5026571434638357E-3</v>
      </c>
    </row>
    <row r="265" spans="1:9" x14ac:dyDescent="0.25">
      <c r="A265">
        <v>168</v>
      </c>
      <c r="B265" t="s">
        <v>453</v>
      </c>
      <c r="C265" t="s">
        <v>167</v>
      </c>
      <c r="D265" t="s">
        <v>168</v>
      </c>
      <c r="E265" t="s">
        <v>60</v>
      </c>
      <c r="F265" t="s">
        <v>452</v>
      </c>
      <c r="G265" s="78" t="s">
        <v>872</v>
      </c>
      <c r="H265" s="140">
        <v>-8.0999999999999996E-3</v>
      </c>
      <c r="I265" s="140">
        <v>-7.7000000000000002E-3</v>
      </c>
    </row>
    <row r="266" spans="1:9" x14ac:dyDescent="0.25">
      <c r="A266">
        <v>282</v>
      </c>
      <c r="B266" t="s">
        <v>458</v>
      </c>
      <c r="C266" t="s">
        <v>167</v>
      </c>
      <c r="D266" t="s">
        <v>168</v>
      </c>
      <c r="E266" t="s">
        <v>60</v>
      </c>
      <c r="F266" t="s">
        <v>452</v>
      </c>
      <c r="G266" s="78" t="s">
        <v>872</v>
      </c>
      <c r="H266" s="140">
        <v>-8.5000000000000006E-3</v>
      </c>
      <c r="I266" s="140">
        <v>-1.06E-2</v>
      </c>
    </row>
    <row r="267" spans="1:9" x14ac:dyDescent="0.25">
      <c r="A267">
        <v>35</v>
      </c>
      <c r="B267" t="s">
        <v>188</v>
      </c>
      <c r="C267" t="s">
        <v>167</v>
      </c>
      <c r="D267" t="s">
        <v>168</v>
      </c>
      <c r="E267" t="s">
        <v>60</v>
      </c>
      <c r="F267" t="s">
        <v>452</v>
      </c>
      <c r="G267" s="78" t="s">
        <v>872</v>
      </c>
      <c r="H267" s="140">
        <v>-9.0992723460459543E-3</v>
      </c>
      <c r="I267" s="140">
        <v>-8.8387223638341141E-3</v>
      </c>
    </row>
    <row r="268" spans="1:9" x14ac:dyDescent="0.25">
      <c r="A268">
        <v>169</v>
      </c>
      <c r="B268" t="s">
        <v>454</v>
      </c>
      <c r="C268" t="s">
        <v>167</v>
      </c>
      <c r="D268" t="s">
        <v>168</v>
      </c>
      <c r="E268" t="s">
        <v>60</v>
      </c>
      <c r="F268" t="s">
        <v>452</v>
      </c>
      <c r="G268" s="78" t="s">
        <v>875</v>
      </c>
      <c r="H268" s="140">
        <v>-6.1000000000000004E-3</v>
      </c>
      <c r="I268" s="140">
        <v>-6.1999999999999998E-3</v>
      </c>
    </row>
    <row r="269" spans="1:9" x14ac:dyDescent="0.25">
      <c r="A269">
        <v>176</v>
      </c>
      <c r="B269" t="s">
        <v>455</v>
      </c>
      <c r="C269" t="s">
        <v>167</v>
      </c>
      <c r="D269" t="s">
        <v>168</v>
      </c>
      <c r="E269" t="s">
        <v>60</v>
      </c>
      <c r="F269" t="s">
        <v>452</v>
      </c>
      <c r="G269" s="78" t="s">
        <v>872</v>
      </c>
      <c r="H269" s="140">
        <v>-7.9315167738906837E-3</v>
      </c>
      <c r="I269" s="140">
        <v>-7.6E-3</v>
      </c>
    </row>
    <row r="270" spans="1:9" x14ac:dyDescent="0.25">
      <c r="A270">
        <v>185</v>
      </c>
      <c r="B270" t="s">
        <v>456</v>
      </c>
      <c r="C270" t="s">
        <v>167</v>
      </c>
      <c r="D270" t="s">
        <v>168</v>
      </c>
      <c r="E270" t="s">
        <v>60</v>
      </c>
      <c r="F270" t="s">
        <v>452</v>
      </c>
      <c r="G270" s="78" t="s">
        <v>872</v>
      </c>
      <c r="H270" s="140">
        <v>-7.5909848124663332E-3</v>
      </c>
      <c r="I270" s="140">
        <v>-7.5793183845267688E-3</v>
      </c>
    </row>
    <row r="271" spans="1:9" x14ac:dyDescent="0.25">
      <c r="A271">
        <v>219</v>
      </c>
      <c r="B271" t="s">
        <v>332</v>
      </c>
      <c r="C271" t="s">
        <v>167</v>
      </c>
      <c r="D271" t="s">
        <v>168</v>
      </c>
      <c r="E271" t="s">
        <v>60</v>
      </c>
      <c r="F271" t="s">
        <v>452</v>
      </c>
      <c r="G271" s="78" t="s">
        <v>872</v>
      </c>
      <c r="H271" s="140">
        <v>-4.4934667925182721E-3</v>
      </c>
      <c r="I271" s="140">
        <v>-4.5018084800831429E-3</v>
      </c>
    </row>
    <row r="272" spans="1:9" x14ac:dyDescent="0.25">
      <c r="A272">
        <v>224</v>
      </c>
      <c r="B272" t="s">
        <v>457</v>
      </c>
      <c r="C272" t="s">
        <v>167</v>
      </c>
      <c r="D272" t="s">
        <v>168</v>
      </c>
      <c r="E272" t="s">
        <v>60</v>
      </c>
      <c r="F272" t="s">
        <v>452</v>
      </c>
      <c r="G272" s="78" t="s">
        <v>875</v>
      </c>
      <c r="H272" s="140">
        <v>-7.3000000000000001E-3</v>
      </c>
      <c r="I272" s="140">
        <v>-9.7000000000000003E-3</v>
      </c>
    </row>
    <row r="273" spans="1:9" x14ac:dyDescent="0.25">
      <c r="A273">
        <v>295</v>
      </c>
      <c r="B273" t="s">
        <v>459</v>
      </c>
      <c r="C273" t="s">
        <v>167</v>
      </c>
      <c r="D273" t="s">
        <v>168</v>
      </c>
      <c r="E273" t="s">
        <v>60</v>
      </c>
      <c r="F273" t="s">
        <v>452</v>
      </c>
      <c r="G273" s="78" t="s">
        <v>872</v>
      </c>
      <c r="H273" s="140">
        <v>-7.8734686030238425E-3</v>
      </c>
      <c r="I273" s="140">
        <v>-8.0211416020567073E-3</v>
      </c>
    </row>
    <row r="274" spans="1:9" x14ac:dyDescent="0.25">
      <c r="A274">
        <v>3068</v>
      </c>
      <c r="B274" t="s">
        <v>469</v>
      </c>
      <c r="C274" t="s">
        <v>66</v>
      </c>
      <c r="D274" t="s">
        <v>168</v>
      </c>
      <c r="E274" t="s">
        <v>60</v>
      </c>
      <c r="F274" t="s">
        <v>461</v>
      </c>
      <c r="G274" s="78" t="s">
        <v>873</v>
      </c>
      <c r="H274" s="140">
        <v>-1.3591012354578382E-2</v>
      </c>
      <c r="I274" s="140">
        <v>-7.4000000000000003E-3</v>
      </c>
    </row>
    <row r="275" spans="1:9" x14ac:dyDescent="0.25">
      <c r="A275">
        <v>1185</v>
      </c>
      <c r="B275" t="s">
        <v>468</v>
      </c>
      <c r="C275" t="s">
        <v>167</v>
      </c>
      <c r="D275" t="s">
        <v>168</v>
      </c>
      <c r="E275" t="s">
        <v>60</v>
      </c>
      <c r="F275" t="s">
        <v>461</v>
      </c>
      <c r="G275" s="78" t="s">
        <v>873</v>
      </c>
      <c r="H275" s="140">
        <v>-1.2800000000000001E-2</v>
      </c>
      <c r="I275" s="140">
        <v>-8.3999999999999995E-3</v>
      </c>
    </row>
    <row r="276" spans="1:9" x14ac:dyDescent="0.25">
      <c r="A276">
        <v>296</v>
      </c>
      <c r="B276" t="s">
        <v>377</v>
      </c>
      <c r="C276" t="s">
        <v>167</v>
      </c>
      <c r="D276" t="s">
        <v>168</v>
      </c>
      <c r="E276" t="s">
        <v>60</v>
      </c>
      <c r="F276" t="s">
        <v>461</v>
      </c>
      <c r="G276" s="78" t="s">
        <v>872</v>
      </c>
      <c r="H276" s="140">
        <v>-1.8800000000000001E-2</v>
      </c>
      <c r="I276" s="140">
        <v>-1.2200000000000001E-2</v>
      </c>
    </row>
    <row r="277" spans="1:9" x14ac:dyDescent="0.25">
      <c r="A277">
        <v>612</v>
      </c>
      <c r="B277" t="s">
        <v>463</v>
      </c>
      <c r="C277" t="s">
        <v>167</v>
      </c>
      <c r="D277" t="s">
        <v>168</v>
      </c>
      <c r="E277" t="s">
        <v>60</v>
      </c>
      <c r="F277" t="s">
        <v>461</v>
      </c>
      <c r="G277" s="78" t="s">
        <v>873</v>
      </c>
      <c r="H277" s="140">
        <v>-8.7736540569479122E-3</v>
      </c>
      <c r="I277" s="140">
        <v>-8.8842098670253444E-3</v>
      </c>
    </row>
    <row r="278" spans="1:9" x14ac:dyDescent="0.25">
      <c r="A278">
        <v>628</v>
      </c>
      <c r="B278" t="s">
        <v>464</v>
      </c>
      <c r="C278" t="s">
        <v>167</v>
      </c>
      <c r="D278" t="s">
        <v>168</v>
      </c>
      <c r="E278" t="s">
        <v>60</v>
      </c>
      <c r="F278" t="s">
        <v>461</v>
      </c>
      <c r="G278" s="78" t="s">
        <v>873</v>
      </c>
      <c r="H278" s="140">
        <v>-1.6799999999999999E-2</v>
      </c>
      <c r="I278" s="140">
        <v>-1.2999999999999999E-2</v>
      </c>
    </row>
    <row r="279" spans="1:9" s="31" customFormat="1" x14ac:dyDescent="0.25">
      <c r="A279" s="31">
        <v>690</v>
      </c>
      <c r="B279" s="31" t="s">
        <v>465</v>
      </c>
      <c r="C279" s="31" t="s">
        <v>167</v>
      </c>
      <c r="D279" s="31" t="s">
        <v>168</v>
      </c>
      <c r="E279" s="31" t="s">
        <v>60</v>
      </c>
      <c r="F279" s="31" t="s">
        <v>461</v>
      </c>
      <c r="G279" s="78" t="s">
        <v>873</v>
      </c>
      <c r="H279" s="140">
        <v>-9.9985815382931872E-3</v>
      </c>
      <c r="I279" s="140">
        <v>-9.7444769612919004E-3</v>
      </c>
    </row>
    <row r="280" spans="1:9" s="31" customFormat="1" x14ac:dyDescent="0.25">
      <c r="A280" s="31">
        <v>1060</v>
      </c>
      <c r="B280" s="31" t="s">
        <v>466</v>
      </c>
      <c r="C280" s="31" t="s">
        <v>167</v>
      </c>
      <c r="D280" s="31" t="s">
        <v>168</v>
      </c>
      <c r="E280" s="31" t="s">
        <v>60</v>
      </c>
      <c r="F280" s="31" t="s">
        <v>461</v>
      </c>
      <c r="G280" s="78" t="s">
        <v>872</v>
      </c>
      <c r="H280" s="140">
        <v>-7.7999999999999996E-3</v>
      </c>
      <c r="I280" s="140">
        <v>-1.2999999999999999E-2</v>
      </c>
    </row>
    <row r="281" spans="1:9" x14ac:dyDescent="0.25">
      <c r="A281">
        <v>262</v>
      </c>
      <c r="B281" t="s">
        <v>460</v>
      </c>
      <c r="C281" t="s">
        <v>167</v>
      </c>
      <c r="D281" t="s">
        <v>168</v>
      </c>
      <c r="E281" t="s">
        <v>60</v>
      </c>
      <c r="F281" t="s">
        <v>461</v>
      </c>
      <c r="G281" s="78" t="s">
        <v>872</v>
      </c>
      <c r="H281" s="140">
        <v>-1.01E-2</v>
      </c>
      <c r="I281" s="140">
        <v>-9.1999999999999998E-3</v>
      </c>
    </row>
    <row r="282" spans="1:9" x14ac:dyDescent="0.25">
      <c r="A282">
        <v>464</v>
      </c>
      <c r="B282" t="s">
        <v>462</v>
      </c>
      <c r="C282" t="s">
        <v>167</v>
      </c>
      <c r="D282" t="s">
        <v>168</v>
      </c>
      <c r="E282" t="s">
        <v>60</v>
      </c>
      <c r="F282" t="s">
        <v>461</v>
      </c>
      <c r="G282" s="78" t="s">
        <v>872</v>
      </c>
      <c r="H282" s="140">
        <v>-1.131821295491867E-2</v>
      </c>
      <c r="I282" s="140">
        <v>-1.1058324497600101E-2</v>
      </c>
    </row>
    <row r="283" spans="1:9" x14ac:dyDescent="0.25">
      <c r="A283">
        <v>1095</v>
      </c>
      <c r="B283" t="s">
        <v>467</v>
      </c>
      <c r="C283" t="s">
        <v>167</v>
      </c>
      <c r="D283" t="s">
        <v>168</v>
      </c>
      <c r="E283" t="s">
        <v>60</v>
      </c>
      <c r="F283" t="s">
        <v>461</v>
      </c>
      <c r="G283" s="78" t="s">
        <v>872</v>
      </c>
      <c r="H283" s="140">
        <v>-1.1299999999999999E-2</v>
      </c>
      <c r="I283" s="140">
        <v>-9.9000000000000008E-3</v>
      </c>
    </row>
    <row r="284" spans="1:9" x14ac:dyDescent="0.25">
      <c r="A284">
        <v>222</v>
      </c>
      <c r="B284" t="s">
        <v>472</v>
      </c>
      <c r="C284" t="s">
        <v>167</v>
      </c>
      <c r="D284" t="s">
        <v>168</v>
      </c>
      <c r="E284" t="s">
        <v>60</v>
      </c>
      <c r="F284" t="s">
        <v>471</v>
      </c>
      <c r="G284" s="78" t="s">
        <v>875</v>
      </c>
      <c r="H284" s="140">
        <v>-2.8999999999999998E-3</v>
      </c>
      <c r="I284" s="140">
        <v>-3.8999999999999998E-3</v>
      </c>
    </row>
    <row r="285" spans="1:9" x14ac:dyDescent="0.25">
      <c r="A285">
        <v>1125</v>
      </c>
      <c r="B285" t="s">
        <v>479</v>
      </c>
      <c r="C285" t="s">
        <v>167</v>
      </c>
      <c r="D285" t="s">
        <v>168</v>
      </c>
      <c r="E285" t="s">
        <v>60</v>
      </c>
      <c r="F285" t="s">
        <v>471</v>
      </c>
      <c r="G285" s="78" t="s">
        <v>874</v>
      </c>
      <c r="H285" s="140">
        <v>-2.4525659269134842E-3</v>
      </c>
      <c r="I285" s="140">
        <v>-4.4999999999999997E-3</v>
      </c>
    </row>
    <row r="286" spans="1:9" x14ac:dyDescent="0.25">
      <c r="A286">
        <v>1135</v>
      </c>
      <c r="B286" t="s">
        <v>802</v>
      </c>
      <c r="C286" t="s">
        <v>167</v>
      </c>
      <c r="D286" t="s">
        <v>168</v>
      </c>
      <c r="E286" t="s">
        <v>60</v>
      </c>
      <c r="F286" t="s">
        <v>471</v>
      </c>
      <c r="G286" s="78" t="s">
        <v>874</v>
      </c>
      <c r="H286" s="140" t="s">
        <v>876</v>
      </c>
      <c r="I286" s="140"/>
    </row>
    <row r="287" spans="1:9" x14ac:dyDescent="0.25">
      <c r="A287">
        <v>234</v>
      </c>
      <c r="B287" t="s">
        <v>451</v>
      </c>
      <c r="C287" t="s">
        <v>167</v>
      </c>
      <c r="D287" t="s">
        <v>168</v>
      </c>
      <c r="E287" t="s">
        <v>60</v>
      </c>
      <c r="F287" t="s">
        <v>471</v>
      </c>
      <c r="G287" s="78" t="s">
        <v>872</v>
      </c>
      <c r="H287" s="140">
        <v>-8.6999999999999994E-3</v>
      </c>
      <c r="I287" s="140">
        <v>-7.4999999999999997E-3</v>
      </c>
    </row>
    <row r="288" spans="1:9" x14ac:dyDescent="0.25">
      <c r="A288">
        <v>616</v>
      </c>
      <c r="B288" t="s">
        <v>478</v>
      </c>
      <c r="C288" t="s">
        <v>167</v>
      </c>
      <c r="D288" t="s">
        <v>168</v>
      </c>
      <c r="E288" t="s">
        <v>60</v>
      </c>
      <c r="F288" t="s">
        <v>471</v>
      </c>
      <c r="G288" s="78" t="s">
        <v>872</v>
      </c>
      <c r="H288" s="140">
        <v>-9.4999999999999998E-3</v>
      </c>
      <c r="I288" s="140">
        <v>-8.5000000000000006E-3</v>
      </c>
    </row>
    <row r="289" spans="1:9" x14ac:dyDescent="0.25">
      <c r="A289">
        <v>165</v>
      </c>
      <c r="B289" t="s">
        <v>470</v>
      </c>
      <c r="C289" t="s">
        <v>167</v>
      </c>
      <c r="D289" t="s">
        <v>168</v>
      </c>
      <c r="E289" t="s">
        <v>60</v>
      </c>
      <c r="F289" t="s">
        <v>471</v>
      </c>
      <c r="G289" s="78" t="s">
        <v>875</v>
      </c>
      <c r="H289" s="140">
        <v>-3.5000000000000001E-3</v>
      </c>
      <c r="I289" s="140">
        <v>-6.0000000000000001E-3</v>
      </c>
    </row>
    <row r="290" spans="1:9" x14ac:dyDescent="0.25">
      <c r="A290">
        <v>223</v>
      </c>
      <c r="B290" t="s">
        <v>473</v>
      </c>
      <c r="C290" t="s">
        <v>167</v>
      </c>
      <c r="D290" t="s">
        <v>168</v>
      </c>
      <c r="E290" t="s">
        <v>60</v>
      </c>
      <c r="F290" t="s">
        <v>471</v>
      </c>
      <c r="G290" s="78" t="s">
        <v>872</v>
      </c>
      <c r="H290" s="140">
        <v>-5.0136546341379732E-3</v>
      </c>
      <c r="I290" s="140">
        <v>-5.392159420833949E-3</v>
      </c>
    </row>
    <row r="291" spans="1:9" x14ac:dyDescent="0.25">
      <c r="A291">
        <v>244</v>
      </c>
      <c r="B291" t="s">
        <v>474</v>
      </c>
      <c r="C291" t="s">
        <v>167</v>
      </c>
      <c r="D291" t="s">
        <v>168</v>
      </c>
      <c r="E291" t="s">
        <v>60</v>
      </c>
      <c r="F291" t="s">
        <v>471</v>
      </c>
      <c r="G291" s="78" t="s">
        <v>872</v>
      </c>
      <c r="H291" s="140">
        <v>-3.2384697012545903E-3</v>
      </c>
      <c r="I291" s="140">
        <v>-4.4999999999999997E-3</v>
      </c>
    </row>
    <row r="292" spans="1:9" x14ac:dyDescent="0.25">
      <c r="A292">
        <v>271</v>
      </c>
      <c r="B292" t="s">
        <v>475</v>
      </c>
      <c r="C292" t="s">
        <v>167</v>
      </c>
      <c r="D292" t="s">
        <v>168</v>
      </c>
      <c r="E292" t="s">
        <v>60</v>
      </c>
      <c r="F292" t="s">
        <v>471</v>
      </c>
      <c r="G292" s="78" t="s">
        <v>872</v>
      </c>
      <c r="H292" s="140">
        <v>-4.2184369223594058E-3</v>
      </c>
      <c r="I292" s="140">
        <v>-4.4999999999999997E-3</v>
      </c>
    </row>
    <row r="293" spans="1:9" x14ac:dyDescent="0.25">
      <c r="A293">
        <v>317</v>
      </c>
      <c r="B293" t="s">
        <v>476</v>
      </c>
      <c r="C293" t="s">
        <v>167</v>
      </c>
      <c r="D293" t="s">
        <v>168</v>
      </c>
      <c r="E293" t="s">
        <v>60</v>
      </c>
      <c r="F293" t="s">
        <v>471</v>
      </c>
      <c r="G293" s="78" t="s">
        <v>872</v>
      </c>
      <c r="H293" s="140">
        <v>-2.7229611961456597E-4</v>
      </c>
      <c r="I293" s="140">
        <v>-4.4999999999999997E-3</v>
      </c>
    </row>
    <row r="294" spans="1:9" x14ac:dyDescent="0.25">
      <c r="A294">
        <v>435</v>
      </c>
      <c r="B294" t="s">
        <v>477</v>
      </c>
      <c r="C294" t="s">
        <v>167</v>
      </c>
      <c r="D294" t="s">
        <v>168</v>
      </c>
      <c r="E294" t="s">
        <v>60</v>
      </c>
      <c r="F294" t="s">
        <v>471</v>
      </c>
      <c r="G294" s="78" t="s">
        <v>872</v>
      </c>
      <c r="H294" s="140">
        <v>-6.1503305092873222E-3</v>
      </c>
      <c r="I294" s="140">
        <v>-6.2694047013773417E-3</v>
      </c>
    </row>
    <row r="295" spans="1:9" x14ac:dyDescent="0.25">
      <c r="A295">
        <v>3064</v>
      </c>
      <c r="B295" t="s">
        <v>484</v>
      </c>
      <c r="C295" t="s">
        <v>66</v>
      </c>
      <c r="D295" t="s">
        <v>168</v>
      </c>
      <c r="E295" t="s">
        <v>60</v>
      </c>
      <c r="F295" t="s">
        <v>480</v>
      </c>
      <c r="G295" s="78" t="s">
        <v>875</v>
      </c>
      <c r="H295" s="140">
        <v>-3.111551670504089E-3</v>
      </c>
      <c r="I295" s="140">
        <v>-3.4500000000000004E-3</v>
      </c>
    </row>
    <row r="296" spans="1:9" x14ac:dyDescent="0.25">
      <c r="A296">
        <v>87</v>
      </c>
      <c r="B296" t="s">
        <v>436</v>
      </c>
      <c r="C296" t="s">
        <v>167</v>
      </c>
      <c r="D296" t="s">
        <v>168</v>
      </c>
      <c r="E296" t="s">
        <v>60</v>
      </c>
      <c r="F296" t="s">
        <v>480</v>
      </c>
      <c r="G296" s="78" t="s">
        <v>872</v>
      </c>
      <c r="H296" s="140">
        <v>-1.04E-2</v>
      </c>
      <c r="I296" s="140">
        <v>-7.6E-3</v>
      </c>
    </row>
    <row r="297" spans="1:9" x14ac:dyDescent="0.25">
      <c r="A297">
        <v>105</v>
      </c>
      <c r="B297" t="s">
        <v>481</v>
      </c>
      <c r="C297" t="s">
        <v>167</v>
      </c>
      <c r="D297" t="s">
        <v>168</v>
      </c>
      <c r="E297" t="s">
        <v>60</v>
      </c>
      <c r="F297" t="s">
        <v>480</v>
      </c>
      <c r="G297" s="78" t="s">
        <v>872</v>
      </c>
      <c r="H297" s="140">
        <v>-8.0809520342338594E-3</v>
      </c>
      <c r="I297" s="140">
        <v>-7.7283707015394004E-3</v>
      </c>
    </row>
    <row r="298" spans="1:9" x14ac:dyDescent="0.25">
      <c r="A298">
        <v>272</v>
      </c>
      <c r="B298" t="s">
        <v>482</v>
      </c>
      <c r="C298" t="s">
        <v>167</v>
      </c>
      <c r="D298" t="s">
        <v>168</v>
      </c>
      <c r="E298" t="s">
        <v>60</v>
      </c>
      <c r="F298" t="s">
        <v>480</v>
      </c>
      <c r="G298" s="78" t="s">
        <v>872</v>
      </c>
      <c r="H298" s="140">
        <v>-6.5734663274284733E-3</v>
      </c>
      <c r="I298" s="140">
        <v>-6.4803108214481165E-3</v>
      </c>
    </row>
    <row r="299" spans="1:9" x14ac:dyDescent="0.25">
      <c r="A299">
        <v>426</v>
      </c>
      <c r="B299" t="s">
        <v>483</v>
      </c>
      <c r="C299" t="s">
        <v>167</v>
      </c>
      <c r="D299" t="s">
        <v>168</v>
      </c>
      <c r="E299" t="s">
        <v>60</v>
      </c>
      <c r="F299" t="s">
        <v>480</v>
      </c>
      <c r="G299" s="78" t="s">
        <v>872</v>
      </c>
      <c r="H299" s="140">
        <v>-9.1999999999999998E-3</v>
      </c>
      <c r="I299" s="140">
        <v>-9.7000000000000003E-3</v>
      </c>
    </row>
    <row r="300" spans="1:9" x14ac:dyDescent="0.25">
      <c r="A300">
        <v>450</v>
      </c>
      <c r="B300" t="s">
        <v>484</v>
      </c>
      <c r="C300" t="s">
        <v>167</v>
      </c>
      <c r="D300" t="s">
        <v>168</v>
      </c>
      <c r="E300" t="s">
        <v>60</v>
      </c>
      <c r="F300" t="s">
        <v>480</v>
      </c>
      <c r="G300" s="78" t="s">
        <v>872</v>
      </c>
      <c r="H300" s="140">
        <v>-1.1543254827594027E-2</v>
      </c>
      <c r="I300" s="140">
        <v>-1.1362303470930811E-2</v>
      </c>
    </row>
    <row r="301" spans="1:9" x14ac:dyDescent="0.25">
      <c r="A301">
        <v>719</v>
      </c>
      <c r="B301" t="s">
        <v>485</v>
      </c>
      <c r="C301" t="s">
        <v>167</v>
      </c>
      <c r="D301" t="s">
        <v>168</v>
      </c>
      <c r="E301" t="s">
        <v>60</v>
      </c>
      <c r="F301" t="s">
        <v>480</v>
      </c>
      <c r="G301" s="78" t="s">
        <v>872</v>
      </c>
      <c r="H301" s="140">
        <v>-3.204049440333204E-3</v>
      </c>
      <c r="I301" s="140">
        <v>-4.4999999999999997E-3</v>
      </c>
    </row>
    <row r="302" spans="1:9" x14ac:dyDescent="0.25">
      <c r="A302">
        <v>1108</v>
      </c>
      <c r="B302" t="s">
        <v>486</v>
      </c>
      <c r="C302" t="s">
        <v>167</v>
      </c>
      <c r="D302" t="s">
        <v>168</v>
      </c>
      <c r="E302" t="s">
        <v>60</v>
      </c>
      <c r="F302" t="s">
        <v>480</v>
      </c>
      <c r="G302" s="78" t="s">
        <v>875</v>
      </c>
      <c r="H302" s="140">
        <v>-2.8E-3</v>
      </c>
      <c r="I302" s="140">
        <v>-9.7999999999999997E-3</v>
      </c>
    </row>
    <row r="303" spans="1:9" x14ac:dyDescent="0.25">
      <c r="A303">
        <v>3105</v>
      </c>
      <c r="B303" t="s">
        <v>489</v>
      </c>
      <c r="C303" t="s">
        <v>66</v>
      </c>
      <c r="D303" t="s">
        <v>168</v>
      </c>
      <c r="E303" t="s">
        <v>60</v>
      </c>
      <c r="F303" t="s">
        <v>488</v>
      </c>
      <c r="G303" s="78" t="s">
        <v>875</v>
      </c>
      <c r="H303" s="140">
        <v>-5.4244989501692838E-4</v>
      </c>
      <c r="I303" s="140">
        <v>-3.4500000000000004E-3</v>
      </c>
    </row>
    <row r="304" spans="1:9" x14ac:dyDescent="0.25">
      <c r="A304">
        <v>1032</v>
      </c>
      <c r="B304" t="s">
        <v>494</v>
      </c>
      <c r="C304" t="s">
        <v>167</v>
      </c>
      <c r="D304" t="s">
        <v>168</v>
      </c>
      <c r="E304" t="s">
        <v>60</v>
      </c>
      <c r="F304" t="s">
        <v>488</v>
      </c>
      <c r="G304" s="78" t="s">
        <v>875</v>
      </c>
      <c r="H304" s="140">
        <v>-1.1044182766774607E-2</v>
      </c>
      <c r="I304" s="140">
        <v>-1.0525447823892198E-2</v>
      </c>
    </row>
    <row r="305" spans="1:9" x14ac:dyDescent="0.25">
      <c r="A305">
        <v>319</v>
      </c>
      <c r="B305" t="s">
        <v>491</v>
      </c>
      <c r="C305" t="s">
        <v>167</v>
      </c>
      <c r="D305" t="s">
        <v>168</v>
      </c>
      <c r="E305" t="s">
        <v>60</v>
      </c>
      <c r="F305" t="s">
        <v>488</v>
      </c>
      <c r="G305" s="78" t="s">
        <v>873</v>
      </c>
      <c r="H305" s="140">
        <v>-1.2800000000000001E-2</v>
      </c>
      <c r="I305" s="140">
        <v>-8.3999999999999995E-3</v>
      </c>
    </row>
    <row r="306" spans="1:9" x14ac:dyDescent="0.25">
      <c r="A306">
        <v>3116</v>
      </c>
      <c r="B306" t="s">
        <v>496</v>
      </c>
      <c r="C306" t="s">
        <v>66</v>
      </c>
      <c r="D306" t="s">
        <v>168</v>
      </c>
      <c r="E306" t="s">
        <v>60</v>
      </c>
      <c r="F306" t="s">
        <v>488</v>
      </c>
      <c r="G306" s="78" t="s">
        <v>872</v>
      </c>
      <c r="H306" s="140">
        <v>-5.0854153432993111E-3</v>
      </c>
      <c r="I306" s="140">
        <v>-4.9500000000000004E-3</v>
      </c>
    </row>
    <row r="307" spans="1:9" x14ac:dyDescent="0.25">
      <c r="A307">
        <v>626</v>
      </c>
      <c r="B307" t="s">
        <v>492</v>
      </c>
      <c r="C307" t="s">
        <v>167</v>
      </c>
      <c r="D307" t="s">
        <v>168</v>
      </c>
      <c r="E307" t="s">
        <v>60</v>
      </c>
      <c r="F307" t="s">
        <v>488</v>
      </c>
      <c r="G307" s="78" t="s">
        <v>873</v>
      </c>
      <c r="H307" s="140">
        <v>-1.1988928963477257E-2</v>
      </c>
      <c r="I307" s="140">
        <v>-1.2205151772403007E-2</v>
      </c>
    </row>
    <row r="308" spans="1:9" x14ac:dyDescent="0.25">
      <c r="A308">
        <v>148</v>
      </c>
      <c r="B308" t="s">
        <v>487</v>
      </c>
      <c r="C308" t="s">
        <v>167</v>
      </c>
      <c r="D308" t="s">
        <v>168</v>
      </c>
      <c r="E308" t="s">
        <v>60</v>
      </c>
      <c r="F308" t="s">
        <v>488</v>
      </c>
      <c r="G308" s="78" t="s">
        <v>875</v>
      </c>
      <c r="H308" s="140">
        <v>-4.7999999999999996E-3</v>
      </c>
      <c r="I308" s="140">
        <v>-9.9000000000000008E-3</v>
      </c>
    </row>
    <row r="309" spans="1:9" x14ac:dyDescent="0.25">
      <c r="A309">
        <v>157</v>
      </c>
      <c r="B309" t="s">
        <v>489</v>
      </c>
      <c r="C309" t="s">
        <v>167</v>
      </c>
      <c r="D309" t="s">
        <v>168</v>
      </c>
      <c r="E309" t="s">
        <v>60</v>
      </c>
      <c r="F309" t="s">
        <v>488</v>
      </c>
      <c r="G309" s="78" t="s">
        <v>872</v>
      </c>
      <c r="H309" s="140">
        <v>-6.4999999999999997E-3</v>
      </c>
      <c r="I309" s="140">
        <v>-9.5999999999999992E-3</v>
      </c>
    </row>
    <row r="310" spans="1:9" x14ac:dyDescent="0.25">
      <c r="A310">
        <v>196</v>
      </c>
      <c r="B310" t="s">
        <v>490</v>
      </c>
      <c r="C310" t="s">
        <v>167</v>
      </c>
      <c r="D310" t="s">
        <v>168</v>
      </c>
      <c r="E310" t="s">
        <v>60</v>
      </c>
      <c r="F310" t="s">
        <v>488</v>
      </c>
      <c r="G310" s="78" t="s">
        <v>872</v>
      </c>
      <c r="H310" s="140">
        <v>-3.9041674713775499E-3</v>
      </c>
      <c r="I310" s="140">
        <v>-4.4999999999999997E-3</v>
      </c>
    </row>
    <row r="311" spans="1:9" x14ac:dyDescent="0.25">
      <c r="A311">
        <v>672</v>
      </c>
      <c r="B311" t="s">
        <v>493</v>
      </c>
      <c r="C311" t="s">
        <v>167</v>
      </c>
      <c r="D311" t="s">
        <v>168</v>
      </c>
      <c r="E311" t="s">
        <v>60</v>
      </c>
      <c r="F311" t="s">
        <v>488</v>
      </c>
      <c r="G311" s="78" t="s">
        <v>872</v>
      </c>
      <c r="H311" s="140">
        <v>-1.09E-2</v>
      </c>
      <c r="I311" s="140">
        <v>-1.2699999999999999E-2</v>
      </c>
    </row>
    <row r="312" spans="1:9" x14ac:dyDescent="0.25">
      <c r="A312">
        <v>1083</v>
      </c>
      <c r="B312" t="s">
        <v>495</v>
      </c>
      <c r="C312" t="s">
        <v>167</v>
      </c>
      <c r="D312" t="s">
        <v>168</v>
      </c>
      <c r="E312" t="s">
        <v>60</v>
      </c>
      <c r="F312" t="s">
        <v>488</v>
      </c>
      <c r="G312" s="78" t="s">
        <v>875</v>
      </c>
      <c r="H312" s="140">
        <v>-2.2000000000000001E-3</v>
      </c>
      <c r="I312" s="140">
        <v>-8.0999999999999996E-3</v>
      </c>
    </row>
    <row r="313" spans="1:9" x14ac:dyDescent="0.25">
      <c r="A313">
        <v>160</v>
      </c>
      <c r="B313" t="s">
        <v>499</v>
      </c>
      <c r="C313" t="s">
        <v>167</v>
      </c>
      <c r="D313" t="s">
        <v>168</v>
      </c>
      <c r="E313" t="s">
        <v>60</v>
      </c>
      <c r="F313" t="s">
        <v>498</v>
      </c>
      <c r="G313" s="78" t="s">
        <v>875</v>
      </c>
      <c r="H313" s="140">
        <v>-5.0000000000000001E-3</v>
      </c>
      <c r="I313" s="140">
        <v>-5.1999999999999998E-3</v>
      </c>
    </row>
    <row r="314" spans="1:9" s="31" customFormat="1" x14ac:dyDescent="0.25">
      <c r="A314" s="31">
        <v>163</v>
      </c>
      <c r="B314" s="31" t="s">
        <v>501</v>
      </c>
      <c r="C314" s="31" t="s">
        <v>167</v>
      </c>
      <c r="D314" s="31" t="s">
        <v>168</v>
      </c>
      <c r="E314" s="31" t="s">
        <v>60</v>
      </c>
      <c r="F314" s="31" t="s">
        <v>498</v>
      </c>
      <c r="G314" s="78" t="s">
        <v>875</v>
      </c>
      <c r="H314" s="140">
        <v>-4.7903458626248176E-3</v>
      </c>
      <c r="I314" s="140">
        <v>-4.5726686865142536E-3</v>
      </c>
    </row>
    <row r="315" spans="1:9" s="31" customFormat="1" x14ac:dyDescent="0.25">
      <c r="A315" s="31">
        <v>1005</v>
      </c>
      <c r="B315" s="31" t="s">
        <v>505</v>
      </c>
      <c r="C315" s="31" t="s">
        <v>167</v>
      </c>
      <c r="D315" s="31" t="s">
        <v>168</v>
      </c>
      <c r="E315" s="31" t="s">
        <v>60</v>
      </c>
      <c r="F315" s="31" t="s">
        <v>498</v>
      </c>
      <c r="G315" s="78" t="s">
        <v>875</v>
      </c>
      <c r="H315" s="140">
        <v>-3.8999999999999998E-3</v>
      </c>
      <c r="I315" s="140">
        <v>-4.7000000000000002E-3</v>
      </c>
    </row>
    <row r="316" spans="1:9" x14ac:dyDescent="0.25">
      <c r="A316">
        <v>166</v>
      </c>
      <c r="B316" t="s">
        <v>502</v>
      </c>
      <c r="C316" t="s">
        <v>167</v>
      </c>
      <c r="D316" t="s">
        <v>168</v>
      </c>
      <c r="E316" t="s">
        <v>60</v>
      </c>
      <c r="F316" t="s">
        <v>498</v>
      </c>
      <c r="G316" s="78" t="s">
        <v>873</v>
      </c>
      <c r="H316" s="140">
        <v>-5.7629273037943761E-3</v>
      </c>
      <c r="I316" s="140">
        <v>-6.3797030792290231E-3</v>
      </c>
    </row>
    <row r="317" spans="1:9" x14ac:dyDescent="0.25">
      <c r="A317">
        <v>175</v>
      </c>
      <c r="B317" t="s">
        <v>394</v>
      </c>
      <c r="C317" t="s">
        <v>167</v>
      </c>
      <c r="D317" t="s">
        <v>168</v>
      </c>
      <c r="E317" t="s">
        <v>60</v>
      </c>
      <c r="F317" t="s">
        <v>498</v>
      </c>
      <c r="G317" s="78" t="s">
        <v>873</v>
      </c>
      <c r="H317" s="140">
        <v>-7.7999999999999996E-3</v>
      </c>
      <c r="I317" s="140">
        <v>-5.3E-3</v>
      </c>
    </row>
    <row r="318" spans="1:9" x14ac:dyDescent="0.25">
      <c r="A318">
        <v>153</v>
      </c>
      <c r="B318" t="s">
        <v>497</v>
      </c>
      <c r="C318" t="s">
        <v>167</v>
      </c>
      <c r="D318" t="s">
        <v>168</v>
      </c>
      <c r="E318" t="s">
        <v>60</v>
      </c>
      <c r="F318" t="s">
        <v>498</v>
      </c>
      <c r="G318" s="78" t="s">
        <v>872</v>
      </c>
      <c r="H318" s="140">
        <v>-5.6369786658640652E-3</v>
      </c>
      <c r="I318" s="140">
        <v>-5.5101758500741916E-3</v>
      </c>
    </row>
    <row r="319" spans="1:9" x14ac:dyDescent="0.25">
      <c r="A319">
        <v>161</v>
      </c>
      <c r="B319" t="s">
        <v>500</v>
      </c>
      <c r="C319" t="s">
        <v>167</v>
      </c>
      <c r="D319" t="s">
        <v>168</v>
      </c>
      <c r="E319" t="s">
        <v>60</v>
      </c>
      <c r="F319" t="s">
        <v>498</v>
      </c>
      <c r="G319" s="78" t="s">
        <v>875</v>
      </c>
      <c r="H319" s="140">
        <v>-4.0000000000000001E-3</v>
      </c>
      <c r="I319" s="140">
        <v>-4.8999999999999998E-3</v>
      </c>
    </row>
    <row r="320" spans="1:9" x14ac:dyDescent="0.25">
      <c r="A320">
        <v>237</v>
      </c>
      <c r="B320" t="s">
        <v>503</v>
      </c>
      <c r="C320" t="s">
        <v>167</v>
      </c>
      <c r="D320" t="s">
        <v>168</v>
      </c>
      <c r="E320" t="s">
        <v>60</v>
      </c>
      <c r="F320" t="s">
        <v>498</v>
      </c>
      <c r="G320" s="78" t="s">
        <v>872</v>
      </c>
      <c r="H320" s="140">
        <v>-5.4542238085611757E-3</v>
      </c>
      <c r="I320" s="140">
        <v>-5.418158033994076E-3</v>
      </c>
    </row>
    <row r="321" spans="1:9" x14ac:dyDescent="0.25">
      <c r="A321">
        <v>245</v>
      </c>
      <c r="B321" t="s">
        <v>504</v>
      </c>
      <c r="C321" t="s">
        <v>167</v>
      </c>
      <c r="D321" t="s">
        <v>168</v>
      </c>
      <c r="E321" t="s">
        <v>60</v>
      </c>
      <c r="F321" t="s">
        <v>498</v>
      </c>
      <c r="G321" s="78" t="s">
        <v>872</v>
      </c>
      <c r="H321" s="140">
        <v>-9.1000000000000004E-3</v>
      </c>
      <c r="I321" s="140">
        <v>-7.0000000000000001E-3</v>
      </c>
    </row>
    <row r="322" spans="1:9" x14ac:dyDescent="0.25">
      <c r="A322">
        <v>3030</v>
      </c>
      <c r="B322" t="s">
        <v>161</v>
      </c>
      <c r="C322" t="s">
        <v>66</v>
      </c>
      <c r="D322" t="s">
        <v>168</v>
      </c>
      <c r="E322" t="s">
        <v>60</v>
      </c>
      <c r="F322" t="s">
        <v>573</v>
      </c>
      <c r="G322" s="78" t="s">
        <v>875</v>
      </c>
      <c r="H322" s="140">
        <v>-3.0916168501011658E-3</v>
      </c>
      <c r="I322" s="140">
        <v>-3.4500000000000004E-3</v>
      </c>
    </row>
    <row r="323" spans="1:9" x14ac:dyDescent="0.25">
      <c r="A323">
        <v>3043</v>
      </c>
      <c r="B323" t="s">
        <v>582</v>
      </c>
      <c r="C323" t="s">
        <v>66</v>
      </c>
      <c r="D323" t="s">
        <v>168</v>
      </c>
      <c r="E323" t="s">
        <v>60</v>
      </c>
      <c r="F323" t="s">
        <v>573</v>
      </c>
      <c r="G323" s="78" t="s">
        <v>875</v>
      </c>
      <c r="H323" s="140">
        <v>-2.2701403440128056E-3</v>
      </c>
      <c r="I323" s="140">
        <v>-3.4500000000000004E-3</v>
      </c>
    </row>
    <row r="324" spans="1:9" x14ac:dyDescent="0.25">
      <c r="A324">
        <v>1137</v>
      </c>
      <c r="B324" t="s">
        <v>581</v>
      </c>
      <c r="C324" t="s">
        <v>167</v>
      </c>
      <c r="D324" t="s">
        <v>168</v>
      </c>
      <c r="E324" t="s">
        <v>60</v>
      </c>
      <c r="F324" t="s">
        <v>573</v>
      </c>
      <c r="G324" s="78" t="s">
        <v>875</v>
      </c>
      <c r="H324" s="140">
        <v>-3.0999999999999999E-3</v>
      </c>
      <c r="I324" s="140">
        <v>-4.5999999999999999E-3</v>
      </c>
    </row>
    <row r="325" spans="1:9" x14ac:dyDescent="0.25">
      <c r="A325">
        <v>1237</v>
      </c>
      <c r="B325" t="s">
        <v>896</v>
      </c>
      <c r="C325" t="s">
        <v>167</v>
      </c>
      <c r="D325" t="s">
        <v>168</v>
      </c>
      <c r="E325" t="s">
        <v>60</v>
      </c>
      <c r="F325" t="s">
        <v>573</v>
      </c>
      <c r="G325" s="78" t="s">
        <v>874</v>
      </c>
      <c r="H325" s="140" t="s">
        <v>876</v>
      </c>
      <c r="I325" s="140"/>
    </row>
    <row r="326" spans="1:9" x14ac:dyDescent="0.25">
      <c r="A326">
        <v>6</v>
      </c>
      <c r="B326" t="s">
        <v>572</v>
      </c>
      <c r="C326" t="s">
        <v>167</v>
      </c>
      <c r="D326" t="s">
        <v>168</v>
      </c>
      <c r="E326" t="s">
        <v>60</v>
      </c>
      <c r="F326" t="s">
        <v>573</v>
      </c>
      <c r="G326" s="78" t="s">
        <v>873</v>
      </c>
      <c r="H326" s="140">
        <v>-5.9527915115863946E-3</v>
      </c>
      <c r="I326" s="140">
        <v>-6.6477129771817575E-3</v>
      </c>
    </row>
    <row r="327" spans="1:9" x14ac:dyDescent="0.25">
      <c r="A327">
        <v>195</v>
      </c>
      <c r="B327" t="s">
        <v>577</v>
      </c>
      <c r="C327" t="s">
        <v>167</v>
      </c>
      <c r="D327" t="s">
        <v>168</v>
      </c>
      <c r="E327" t="s">
        <v>60</v>
      </c>
      <c r="F327" t="s">
        <v>573</v>
      </c>
      <c r="G327" s="78" t="s">
        <v>872</v>
      </c>
      <c r="H327" s="140">
        <v>-1.04E-2</v>
      </c>
      <c r="I327" s="140">
        <v>-6.4000000000000003E-3</v>
      </c>
    </row>
    <row r="328" spans="1:9" x14ac:dyDescent="0.25">
      <c r="A328">
        <v>422</v>
      </c>
      <c r="B328" t="s">
        <v>578</v>
      </c>
      <c r="C328" t="s">
        <v>167</v>
      </c>
      <c r="D328" t="s">
        <v>168</v>
      </c>
      <c r="E328" t="s">
        <v>60</v>
      </c>
      <c r="F328" t="s">
        <v>573</v>
      </c>
      <c r="G328" s="78" t="s">
        <v>873</v>
      </c>
      <c r="H328" s="140">
        <v>-1.2500000000000001E-2</v>
      </c>
      <c r="I328" s="140">
        <v>-1.06E-2</v>
      </c>
    </row>
    <row r="329" spans="1:9" x14ac:dyDescent="0.25">
      <c r="A329">
        <v>427</v>
      </c>
      <c r="B329" t="s">
        <v>579</v>
      </c>
      <c r="C329" t="s">
        <v>167</v>
      </c>
      <c r="D329" t="s">
        <v>168</v>
      </c>
      <c r="E329" t="s">
        <v>60</v>
      </c>
      <c r="F329" t="s">
        <v>573</v>
      </c>
      <c r="G329" s="78" t="s">
        <v>873</v>
      </c>
      <c r="H329" s="140">
        <v>-9.7321579066736129E-3</v>
      </c>
      <c r="I329" s="140">
        <v>-9.5770433170373898E-3</v>
      </c>
    </row>
    <row r="330" spans="1:9" x14ac:dyDescent="0.25">
      <c r="A330">
        <v>11</v>
      </c>
      <c r="B330" t="s">
        <v>574</v>
      </c>
      <c r="C330" t="s">
        <v>167</v>
      </c>
      <c r="D330" t="s">
        <v>168</v>
      </c>
      <c r="E330" t="s">
        <v>60</v>
      </c>
      <c r="F330" t="s">
        <v>573</v>
      </c>
      <c r="G330" s="78" t="s">
        <v>872</v>
      </c>
      <c r="H330" s="140">
        <v>-9.1000000000000004E-3</v>
      </c>
      <c r="I330" s="140">
        <v>-8.0000000000000002E-3</v>
      </c>
    </row>
    <row r="331" spans="1:9" x14ac:dyDescent="0.25">
      <c r="A331">
        <v>14</v>
      </c>
      <c r="B331" t="s">
        <v>575</v>
      </c>
      <c r="C331" t="s">
        <v>167</v>
      </c>
      <c r="D331" t="s">
        <v>168</v>
      </c>
      <c r="E331" t="s">
        <v>60</v>
      </c>
      <c r="F331" t="s">
        <v>573</v>
      </c>
      <c r="G331" s="78" t="s">
        <v>873</v>
      </c>
      <c r="H331" s="140">
        <v>-8.2000000000000007E-3</v>
      </c>
      <c r="I331" s="140">
        <v>-5.7999999999999996E-3</v>
      </c>
    </row>
    <row r="332" spans="1:9" x14ac:dyDescent="0.25">
      <c r="A332">
        <v>28</v>
      </c>
      <c r="B332" t="s">
        <v>576</v>
      </c>
      <c r="C332" t="s">
        <v>167</v>
      </c>
      <c r="D332" t="s">
        <v>168</v>
      </c>
      <c r="E332" t="s">
        <v>60</v>
      </c>
      <c r="F332" t="s">
        <v>573</v>
      </c>
      <c r="G332" s="78" t="s">
        <v>872</v>
      </c>
      <c r="H332" s="140">
        <v>-4.5973235335922047E-3</v>
      </c>
      <c r="I332" s="140">
        <v>-5.2099069953976057E-3</v>
      </c>
    </row>
    <row r="333" spans="1:9" x14ac:dyDescent="0.25">
      <c r="A333">
        <v>30</v>
      </c>
      <c r="B333" t="s">
        <v>158</v>
      </c>
      <c r="C333" t="s">
        <v>167</v>
      </c>
      <c r="D333" t="s">
        <v>168</v>
      </c>
      <c r="E333" t="s">
        <v>60</v>
      </c>
      <c r="F333" t="s">
        <v>573</v>
      </c>
      <c r="G333" s="78" t="s">
        <v>872</v>
      </c>
      <c r="H333" s="140">
        <v>-6.0000000000000001E-3</v>
      </c>
      <c r="I333" s="140">
        <v>-6.7999999999999996E-3</v>
      </c>
    </row>
    <row r="334" spans="1:9" x14ac:dyDescent="0.25">
      <c r="A334">
        <v>689</v>
      </c>
      <c r="B334" t="s">
        <v>580</v>
      </c>
      <c r="C334" t="s">
        <v>167</v>
      </c>
      <c r="D334" t="s">
        <v>168</v>
      </c>
      <c r="E334" t="s">
        <v>60</v>
      </c>
      <c r="F334" t="s">
        <v>573</v>
      </c>
      <c r="G334" s="78" t="s">
        <v>873</v>
      </c>
      <c r="H334" s="140">
        <v>-6.4999999999999997E-3</v>
      </c>
      <c r="I334" s="140">
        <v>-4.7999999999999996E-3</v>
      </c>
    </row>
    <row r="335" spans="1:9" x14ac:dyDescent="0.25">
      <c r="A335">
        <v>277</v>
      </c>
      <c r="B335" t="s">
        <v>524</v>
      </c>
      <c r="C335" t="s">
        <v>167</v>
      </c>
      <c r="D335" t="s">
        <v>168</v>
      </c>
      <c r="E335" t="s">
        <v>133</v>
      </c>
      <c r="F335" t="s">
        <v>518</v>
      </c>
      <c r="G335" s="78" t="s">
        <v>875</v>
      </c>
      <c r="H335" s="140">
        <v>-3.0000000000000001E-3</v>
      </c>
      <c r="I335" s="140">
        <v>-5.4999999999999997E-3</v>
      </c>
    </row>
    <row r="336" spans="1:9" x14ac:dyDescent="0.25">
      <c r="A336">
        <v>382</v>
      </c>
      <c r="B336" t="s">
        <v>525</v>
      </c>
      <c r="C336" t="s">
        <v>167</v>
      </c>
      <c r="D336" t="s">
        <v>168</v>
      </c>
      <c r="E336" t="s">
        <v>133</v>
      </c>
      <c r="F336" t="s">
        <v>518</v>
      </c>
      <c r="G336" s="78" t="s">
        <v>875</v>
      </c>
      <c r="H336" s="140">
        <v>-5.4999999999999997E-3</v>
      </c>
      <c r="I336" s="140">
        <v>-5.4999999999999997E-3</v>
      </c>
    </row>
    <row r="337" spans="1:9" x14ac:dyDescent="0.25">
      <c r="A337">
        <v>1197</v>
      </c>
      <c r="B337" t="s">
        <v>894</v>
      </c>
      <c r="C337" t="s">
        <v>167</v>
      </c>
      <c r="D337" t="s">
        <v>168</v>
      </c>
      <c r="E337" t="s">
        <v>133</v>
      </c>
      <c r="F337" t="s">
        <v>518</v>
      </c>
      <c r="G337" s="78" t="s">
        <v>874</v>
      </c>
      <c r="H337" s="140" t="s">
        <v>876</v>
      </c>
      <c r="I337" s="140"/>
    </row>
    <row r="338" spans="1:9" x14ac:dyDescent="0.25">
      <c r="A338">
        <v>97</v>
      </c>
      <c r="B338" t="s">
        <v>163</v>
      </c>
      <c r="C338" t="s">
        <v>167</v>
      </c>
      <c r="D338" t="s">
        <v>168</v>
      </c>
      <c r="E338" t="s">
        <v>133</v>
      </c>
      <c r="F338" t="s">
        <v>518</v>
      </c>
      <c r="G338" s="78" t="s">
        <v>872</v>
      </c>
      <c r="H338" s="140">
        <v>-5.4000000000000003E-3</v>
      </c>
      <c r="I338" s="140">
        <v>-7.3000000000000001E-3</v>
      </c>
    </row>
    <row r="339" spans="1:9" x14ac:dyDescent="0.25">
      <c r="A339">
        <v>23</v>
      </c>
      <c r="B339" t="s">
        <v>517</v>
      </c>
      <c r="C339" t="s">
        <v>167</v>
      </c>
      <c r="D339" t="s">
        <v>168</v>
      </c>
      <c r="E339" t="s">
        <v>133</v>
      </c>
      <c r="F339" t="s">
        <v>518</v>
      </c>
      <c r="G339" s="78" t="s">
        <v>872</v>
      </c>
      <c r="H339" s="140">
        <v>-5.8999999999999999E-3</v>
      </c>
      <c r="I339" s="140">
        <v>-7.0000000000000001E-3</v>
      </c>
    </row>
    <row r="340" spans="1:9" x14ac:dyDescent="0.25">
      <c r="A340">
        <v>31</v>
      </c>
      <c r="B340" t="s">
        <v>519</v>
      </c>
      <c r="C340" t="s">
        <v>167</v>
      </c>
      <c r="D340" t="s">
        <v>168</v>
      </c>
      <c r="E340" t="s">
        <v>133</v>
      </c>
      <c r="F340" t="s">
        <v>518</v>
      </c>
      <c r="G340" s="78" t="s">
        <v>875</v>
      </c>
      <c r="H340" s="140">
        <v>-3.2000000000000002E-3</v>
      </c>
      <c r="I340" s="140">
        <v>-5.0000000000000001E-3</v>
      </c>
    </row>
    <row r="341" spans="1:9" x14ac:dyDescent="0.25">
      <c r="A341">
        <v>38</v>
      </c>
      <c r="B341" t="s">
        <v>520</v>
      </c>
      <c r="C341" t="s">
        <v>167</v>
      </c>
      <c r="D341" t="s">
        <v>168</v>
      </c>
      <c r="E341" t="s">
        <v>133</v>
      </c>
      <c r="F341" t="s">
        <v>518</v>
      </c>
      <c r="G341" s="78" t="s">
        <v>872</v>
      </c>
      <c r="H341" s="140">
        <v>-3.099414149284707E-3</v>
      </c>
      <c r="I341" s="140">
        <v>-4.4999999999999997E-3</v>
      </c>
    </row>
    <row r="342" spans="1:9" x14ac:dyDescent="0.25">
      <c r="A342">
        <v>39</v>
      </c>
      <c r="B342" t="s">
        <v>521</v>
      </c>
      <c r="C342" t="s">
        <v>167</v>
      </c>
      <c r="D342" t="s">
        <v>168</v>
      </c>
      <c r="E342" t="s">
        <v>133</v>
      </c>
      <c r="F342" t="s">
        <v>518</v>
      </c>
      <c r="G342" s="78" t="s">
        <v>872</v>
      </c>
      <c r="H342" s="140">
        <v>-6.3512169208848777E-3</v>
      </c>
      <c r="I342" s="140">
        <v>-5.8011880693157542E-3</v>
      </c>
    </row>
    <row r="343" spans="1:9" x14ac:dyDescent="0.25">
      <c r="A343">
        <v>112</v>
      </c>
      <c r="B343" t="s">
        <v>522</v>
      </c>
      <c r="C343" t="s">
        <v>167</v>
      </c>
      <c r="D343" t="s">
        <v>168</v>
      </c>
      <c r="E343" t="s">
        <v>133</v>
      </c>
      <c r="F343" t="s">
        <v>518</v>
      </c>
      <c r="G343" s="78" t="s">
        <v>872</v>
      </c>
      <c r="H343" s="140">
        <v>-3.3650639645103038E-3</v>
      </c>
      <c r="I343" s="140">
        <v>-4.4999999999999997E-3</v>
      </c>
    </row>
    <row r="344" spans="1:9" x14ac:dyDescent="0.25">
      <c r="A344">
        <v>274</v>
      </c>
      <c r="B344" t="s">
        <v>523</v>
      </c>
      <c r="C344" t="s">
        <v>167</v>
      </c>
      <c r="D344" t="s">
        <v>168</v>
      </c>
      <c r="E344" t="s">
        <v>133</v>
      </c>
      <c r="F344" t="s">
        <v>518</v>
      </c>
      <c r="G344" s="78" t="s">
        <v>872</v>
      </c>
      <c r="H344" s="140">
        <v>-4.2324651403860955E-3</v>
      </c>
      <c r="I344" s="140">
        <v>-4.6117826930893212E-3</v>
      </c>
    </row>
    <row r="345" spans="1:9" x14ac:dyDescent="0.25">
      <c r="A345">
        <v>389</v>
      </c>
      <c r="B345" t="s">
        <v>526</v>
      </c>
      <c r="C345" t="s">
        <v>167</v>
      </c>
      <c r="D345" t="s">
        <v>168</v>
      </c>
      <c r="E345" t="s">
        <v>133</v>
      </c>
      <c r="F345" t="s">
        <v>518</v>
      </c>
      <c r="G345" s="78" t="s">
        <v>872</v>
      </c>
      <c r="H345" s="140">
        <v>-2.2227188898422982E-3</v>
      </c>
      <c r="I345" s="140">
        <v>-4.4999999999999997E-3</v>
      </c>
    </row>
    <row r="346" spans="1:9" x14ac:dyDescent="0.25">
      <c r="A346">
        <v>3007</v>
      </c>
      <c r="B346" t="s">
        <v>165</v>
      </c>
      <c r="C346" t="s">
        <v>66</v>
      </c>
      <c r="D346" t="s">
        <v>63</v>
      </c>
      <c r="E346" t="s">
        <v>133</v>
      </c>
      <c r="F346" t="s">
        <v>279</v>
      </c>
      <c r="G346" s="78" t="s">
        <v>875</v>
      </c>
      <c r="H346" s="140">
        <v>-3.4406265324403527E-3</v>
      </c>
      <c r="I346" s="140">
        <v>-3.5211091617186993E-3</v>
      </c>
    </row>
    <row r="347" spans="1:9" x14ac:dyDescent="0.25">
      <c r="A347">
        <v>3011</v>
      </c>
      <c r="B347" t="s">
        <v>291</v>
      </c>
      <c r="C347" t="s">
        <v>66</v>
      </c>
      <c r="D347" t="s">
        <v>63</v>
      </c>
      <c r="E347" t="s">
        <v>133</v>
      </c>
      <c r="F347" t="s">
        <v>279</v>
      </c>
      <c r="G347" s="78" t="s">
        <v>875</v>
      </c>
      <c r="H347" s="140">
        <v>-1.46470081515118E-3</v>
      </c>
      <c r="I347" s="140">
        <v>-3.4500000000000004E-3</v>
      </c>
    </row>
    <row r="348" spans="1:9" x14ac:dyDescent="0.25">
      <c r="A348">
        <v>1132</v>
      </c>
      <c r="B348" t="s">
        <v>290</v>
      </c>
      <c r="C348" t="s">
        <v>167</v>
      </c>
      <c r="D348" t="s">
        <v>63</v>
      </c>
      <c r="E348" t="s">
        <v>133</v>
      </c>
      <c r="F348" t="s">
        <v>279</v>
      </c>
      <c r="G348" s="78" t="s">
        <v>874</v>
      </c>
      <c r="H348" s="140">
        <v>-9.8927709633876652E-3</v>
      </c>
      <c r="I348" s="140">
        <v>-9.8927709633876669E-3</v>
      </c>
    </row>
    <row r="349" spans="1:9" s="31" customFormat="1" x14ac:dyDescent="0.25">
      <c r="A349" s="31">
        <v>1183</v>
      </c>
      <c r="B349" s="31" t="s">
        <v>882</v>
      </c>
      <c r="C349" s="31" t="s">
        <v>167</v>
      </c>
      <c r="D349" s="31" t="s">
        <v>63</v>
      </c>
      <c r="E349" s="31" t="s">
        <v>133</v>
      </c>
      <c r="F349" s="31" t="s">
        <v>279</v>
      </c>
      <c r="G349" s="78" t="s">
        <v>874</v>
      </c>
      <c r="H349" s="140" t="s">
        <v>876</v>
      </c>
      <c r="I349" s="140"/>
    </row>
    <row r="350" spans="1:9" x14ac:dyDescent="0.25">
      <c r="A350">
        <v>70</v>
      </c>
      <c r="B350" t="s">
        <v>278</v>
      </c>
      <c r="C350" t="s">
        <v>167</v>
      </c>
      <c r="D350" t="s">
        <v>63</v>
      </c>
      <c r="E350" t="s">
        <v>133</v>
      </c>
      <c r="F350" t="s">
        <v>279</v>
      </c>
      <c r="G350" s="78" t="s">
        <v>873</v>
      </c>
      <c r="H350" s="140">
        <v>-1.3997043334652395E-2</v>
      </c>
      <c r="I350" s="140">
        <v>-1.3608409408396823E-2</v>
      </c>
    </row>
    <row r="351" spans="1:9" x14ac:dyDescent="0.25">
      <c r="A351">
        <v>71</v>
      </c>
      <c r="B351" t="s">
        <v>280</v>
      </c>
      <c r="C351" t="s">
        <v>167</v>
      </c>
      <c r="D351" t="s">
        <v>63</v>
      </c>
      <c r="E351" t="s">
        <v>133</v>
      </c>
      <c r="F351" t="s">
        <v>279</v>
      </c>
      <c r="G351" s="78" t="s">
        <v>873</v>
      </c>
      <c r="H351" s="140">
        <v>-1.1299999999999999E-2</v>
      </c>
      <c r="I351" s="140">
        <v>-7.7999999999999996E-3</v>
      </c>
    </row>
    <row r="352" spans="1:9" x14ac:dyDescent="0.25">
      <c r="A352">
        <v>72</v>
      </c>
      <c r="B352" t="s">
        <v>281</v>
      </c>
      <c r="C352" t="s">
        <v>167</v>
      </c>
      <c r="D352" t="s">
        <v>63</v>
      </c>
      <c r="E352" t="s">
        <v>133</v>
      </c>
      <c r="F352" t="s">
        <v>279</v>
      </c>
      <c r="G352" s="78" t="s">
        <v>875</v>
      </c>
      <c r="H352" s="140">
        <v>-7.3000000000000001E-3</v>
      </c>
      <c r="I352" s="140">
        <v>-1.06E-2</v>
      </c>
    </row>
    <row r="353" spans="1:9" x14ac:dyDescent="0.25">
      <c r="A353">
        <v>73</v>
      </c>
      <c r="B353" t="s">
        <v>282</v>
      </c>
      <c r="C353" t="s">
        <v>167</v>
      </c>
      <c r="D353" t="s">
        <v>63</v>
      </c>
      <c r="E353" t="s">
        <v>133</v>
      </c>
      <c r="F353" t="s">
        <v>279</v>
      </c>
      <c r="G353" s="78" t="s">
        <v>872</v>
      </c>
      <c r="H353" s="140">
        <v>-1.0500000000000001E-2</v>
      </c>
      <c r="I353" s="140">
        <v>-1.17E-2</v>
      </c>
    </row>
    <row r="354" spans="1:9" x14ac:dyDescent="0.25">
      <c r="A354">
        <v>74</v>
      </c>
      <c r="B354" t="s">
        <v>283</v>
      </c>
      <c r="C354" t="s">
        <v>167</v>
      </c>
      <c r="D354" t="s">
        <v>63</v>
      </c>
      <c r="E354" t="s">
        <v>133</v>
      </c>
      <c r="F354" t="s">
        <v>279</v>
      </c>
      <c r="G354" s="78" t="s">
        <v>873</v>
      </c>
      <c r="H354" s="140">
        <v>-1.1943248556445069E-2</v>
      </c>
      <c r="I354" s="140">
        <v>-1.2108011223247802E-2</v>
      </c>
    </row>
    <row r="355" spans="1:9" x14ac:dyDescent="0.25">
      <c r="A355">
        <v>113</v>
      </c>
      <c r="B355" t="s">
        <v>284</v>
      </c>
      <c r="C355" t="s">
        <v>167</v>
      </c>
      <c r="D355" t="s">
        <v>63</v>
      </c>
      <c r="E355" t="s">
        <v>133</v>
      </c>
      <c r="F355" t="s">
        <v>279</v>
      </c>
      <c r="G355" s="78" t="s">
        <v>872</v>
      </c>
      <c r="H355" s="140">
        <v>-9.5999999999999992E-3</v>
      </c>
      <c r="I355" s="140">
        <v>-8.0999999999999996E-3</v>
      </c>
    </row>
    <row r="356" spans="1:9" x14ac:dyDescent="0.25">
      <c r="A356">
        <v>173</v>
      </c>
      <c r="B356" t="s">
        <v>285</v>
      </c>
      <c r="C356" t="s">
        <v>167</v>
      </c>
      <c r="D356" t="s">
        <v>63</v>
      </c>
      <c r="E356" t="s">
        <v>133</v>
      </c>
      <c r="F356" t="s">
        <v>279</v>
      </c>
      <c r="G356" s="78" t="s">
        <v>873</v>
      </c>
      <c r="H356" s="140">
        <v>-1.0793964459657197E-2</v>
      </c>
      <c r="I356" s="140">
        <v>-1.0198581990260979E-2</v>
      </c>
    </row>
    <row r="357" spans="1:9" x14ac:dyDescent="0.25">
      <c r="A357">
        <v>241</v>
      </c>
      <c r="B357" t="s">
        <v>286</v>
      </c>
      <c r="C357" t="s">
        <v>167</v>
      </c>
      <c r="D357" t="s">
        <v>63</v>
      </c>
      <c r="E357" t="s">
        <v>133</v>
      </c>
      <c r="F357" t="s">
        <v>279</v>
      </c>
      <c r="G357" s="78" t="s">
        <v>873</v>
      </c>
      <c r="H357" s="140">
        <v>-6.6864117840637607E-3</v>
      </c>
      <c r="I357" s="140">
        <v>-7.1051020328119436E-3</v>
      </c>
    </row>
    <row r="358" spans="1:9" x14ac:dyDescent="0.25">
      <c r="A358">
        <v>278</v>
      </c>
      <c r="B358" t="s">
        <v>287</v>
      </c>
      <c r="C358" t="s">
        <v>167</v>
      </c>
      <c r="D358" t="s">
        <v>63</v>
      </c>
      <c r="E358" t="s">
        <v>133</v>
      </c>
      <c r="F358" t="s">
        <v>279</v>
      </c>
      <c r="G358" s="78" t="s">
        <v>872</v>
      </c>
      <c r="H358" s="140">
        <v>-7.3000000000000001E-3</v>
      </c>
      <c r="I358" s="140">
        <v>-8.0999999999999996E-3</v>
      </c>
    </row>
    <row r="359" spans="1:9" x14ac:dyDescent="0.25">
      <c r="A359">
        <v>1045</v>
      </c>
      <c r="B359" t="s">
        <v>289</v>
      </c>
      <c r="C359" t="s">
        <v>167</v>
      </c>
      <c r="D359" t="s">
        <v>63</v>
      </c>
      <c r="E359" t="s">
        <v>133</v>
      </c>
      <c r="F359" t="s">
        <v>279</v>
      </c>
      <c r="G359" s="78" t="s">
        <v>873</v>
      </c>
      <c r="H359" s="140">
        <v>-1.24E-2</v>
      </c>
      <c r="I359" s="140">
        <v>-1.01E-2</v>
      </c>
    </row>
    <row r="360" spans="1:9" x14ac:dyDescent="0.25">
      <c r="A360">
        <v>384</v>
      </c>
      <c r="B360" t="s">
        <v>288</v>
      </c>
      <c r="C360" t="s">
        <v>167</v>
      </c>
      <c r="D360" t="s">
        <v>63</v>
      </c>
      <c r="E360" t="s">
        <v>133</v>
      </c>
      <c r="F360" t="s">
        <v>279</v>
      </c>
      <c r="G360" s="78" t="s">
        <v>872</v>
      </c>
      <c r="H360" s="140">
        <v>-5.6054811704586279E-3</v>
      </c>
      <c r="I360" s="140">
        <v>-5.5622107111081608E-3</v>
      </c>
    </row>
    <row r="361" spans="1:9" x14ac:dyDescent="0.25">
      <c r="A361">
        <v>3028</v>
      </c>
      <c r="B361" t="s">
        <v>543</v>
      </c>
      <c r="C361" t="s">
        <v>66</v>
      </c>
      <c r="D361" t="s">
        <v>168</v>
      </c>
      <c r="E361" t="s">
        <v>133</v>
      </c>
      <c r="F361" t="s">
        <v>528</v>
      </c>
      <c r="G361" s="78" t="s">
        <v>875</v>
      </c>
      <c r="H361" s="140">
        <v>-1.5569149770159817E-3</v>
      </c>
      <c r="I361" s="140">
        <v>-3.4500000000000004E-3</v>
      </c>
    </row>
    <row r="362" spans="1:9" x14ac:dyDescent="0.25">
      <c r="A362">
        <v>3015</v>
      </c>
      <c r="B362" t="s">
        <v>542</v>
      </c>
      <c r="C362" t="s">
        <v>66</v>
      </c>
      <c r="D362" t="s">
        <v>168</v>
      </c>
      <c r="E362" t="s">
        <v>133</v>
      </c>
      <c r="F362" t="s">
        <v>528</v>
      </c>
      <c r="G362" s="78" t="s">
        <v>873</v>
      </c>
      <c r="H362" s="140">
        <v>-8.8887966641536392E-3</v>
      </c>
      <c r="I362" s="140">
        <v>-7.4000000000000003E-3</v>
      </c>
    </row>
    <row r="363" spans="1:9" x14ac:dyDescent="0.25">
      <c r="A363">
        <v>192</v>
      </c>
      <c r="B363" t="s">
        <v>534</v>
      </c>
      <c r="C363" t="s">
        <v>167</v>
      </c>
      <c r="D363" t="s">
        <v>168</v>
      </c>
      <c r="E363" t="s">
        <v>133</v>
      </c>
      <c r="F363" t="s">
        <v>528</v>
      </c>
      <c r="G363" s="78" t="s">
        <v>875</v>
      </c>
      <c r="H363" s="140">
        <v>-1.4556985313229169E-3</v>
      </c>
      <c r="I363" s="140">
        <v>-4.4999999999999997E-3</v>
      </c>
    </row>
    <row r="364" spans="1:9" x14ac:dyDescent="0.25">
      <c r="A364">
        <v>1118</v>
      </c>
      <c r="B364" t="s">
        <v>538</v>
      </c>
      <c r="C364" t="s">
        <v>167</v>
      </c>
      <c r="D364" t="s">
        <v>168</v>
      </c>
      <c r="E364" t="s">
        <v>133</v>
      </c>
      <c r="F364" t="s">
        <v>528</v>
      </c>
      <c r="G364" s="78" t="s">
        <v>874</v>
      </c>
      <c r="H364" s="140">
        <v>-4.8071790804408571E-3</v>
      </c>
      <c r="I364" s="140">
        <v>-4.8071790804408571E-3</v>
      </c>
    </row>
    <row r="365" spans="1:9" x14ac:dyDescent="0.25">
      <c r="A365">
        <v>1171</v>
      </c>
      <c r="B365" t="s">
        <v>540</v>
      </c>
      <c r="C365" t="s">
        <v>167</v>
      </c>
      <c r="D365" t="s">
        <v>168</v>
      </c>
      <c r="E365" t="s">
        <v>133</v>
      </c>
      <c r="F365" t="s">
        <v>528</v>
      </c>
      <c r="G365" s="78" t="s">
        <v>874</v>
      </c>
      <c r="H365" s="140">
        <v>0</v>
      </c>
      <c r="I365" s="140">
        <v>-8.6E-3</v>
      </c>
    </row>
    <row r="366" spans="1:9" x14ac:dyDescent="0.25">
      <c r="A366">
        <v>1236</v>
      </c>
      <c r="B366" t="s">
        <v>850</v>
      </c>
      <c r="C366" t="s">
        <v>167</v>
      </c>
      <c r="D366" t="s">
        <v>168</v>
      </c>
      <c r="E366" t="s">
        <v>133</v>
      </c>
      <c r="F366" t="s">
        <v>528</v>
      </c>
      <c r="G366" s="78" t="s">
        <v>874</v>
      </c>
      <c r="H366" s="140" t="s">
        <v>876</v>
      </c>
      <c r="I366" s="140">
        <v>-8.6E-3</v>
      </c>
    </row>
    <row r="367" spans="1:9" x14ac:dyDescent="0.25">
      <c r="A367">
        <v>3014</v>
      </c>
      <c r="B367" t="s">
        <v>541</v>
      </c>
      <c r="C367" t="s">
        <v>66</v>
      </c>
      <c r="D367" t="s">
        <v>168</v>
      </c>
      <c r="E367" t="s">
        <v>133</v>
      </c>
      <c r="F367" t="s">
        <v>528</v>
      </c>
      <c r="G367" s="78" t="s">
        <v>872</v>
      </c>
      <c r="H367" s="140">
        <v>-4.6712959208103774E-3</v>
      </c>
      <c r="I367" s="140">
        <v>-3.4500000000000004E-3</v>
      </c>
    </row>
    <row r="368" spans="1:9" x14ac:dyDescent="0.25">
      <c r="A368">
        <v>63</v>
      </c>
      <c r="B368" t="s">
        <v>527</v>
      </c>
      <c r="C368" t="s">
        <v>167</v>
      </c>
      <c r="D368" t="s">
        <v>168</v>
      </c>
      <c r="E368" t="s">
        <v>133</v>
      </c>
      <c r="F368" t="s">
        <v>528</v>
      </c>
      <c r="G368" s="78" t="s">
        <v>872</v>
      </c>
      <c r="H368" s="140">
        <v>-7.6E-3</v>
      </c>
      <c r="I368" s="140">
        <v>-1.26E-2</v>
      </c>
    </row>
    <row r="369" spans="1:9" x14ac:dyDescent="0.25">
      <c r="A369">
        <v>64</v>
      </c>
      <c r="B369" t="s">
        <v>529</v>
      </c>
      <c r="C369" t="s">
        <v>167</v>
      </c>
      <c r="D369" t="s">
        <v>168</v>
      </c>
      <c r="E369" t="s">
        <v>133</v>
      </c>
      <c r="F369" t="s">
        <v>528</v>
      </c>
      <c r="G369" s="78" t="s">
        <v>872</v>
      </c>
      <c r="H369" s="140">
        <v>-5.2895926699692121E-3</v>
      </c>
      <c r="I369" s="140">
        <v>-5.5047726472573395E-3</v>
      </c>
    </row>
    <row r="370" spans="1:9" x14ac:dyDescent="0.25">
      <c r="A370">
        <v>65</v>
      </c>
      <c r="B370" t="s">
        <v>530</v>
      </c>
      <c r="C370" t="s">
        <v>167</v>
      </c>
      <c r="D370" t="s">
        <v>168</v>
      </c>
      <c r="E370" t="s">
        <v>133</v>
      </c>
      <c r="F370" t="s">
        <v>528</v>
      </c>
      <c r="G370" s="78" t="s">
        <v>872</v>
      </c>
      <c r="H370" s="140">
        <v>-8.8000000000000005E-3</v>
      </c>
      <c r="I370" s="140">
        <v>-7.4000000000000003E-3</v>
      </c>
    </row>
    <row r="371" spans="1:9" s="31" customFormat="1" x14ac:dyDescent="0.25">
      <c r="A371" s="31">
        <v>106</v>
      </c>
      <c r="B371" s="31" t="s">
        <v>531</v>
      </c>
      <c r="C371" s="31" t="s">
        <v>167</v>
      </c>
      <c r="D371" s="31" t="s">
        <v>168</v>
      </c>
      <c r="E371" s="31" t="s">
        <v>133</v>
      </c>
      <c r="F371" s="31" t="s">
        <v>528</v>
      </c>
      <c r="G371" s="78" t="s">
        <v>872</v>
      </c>
      <c r="H371" s="140">
        <v>-6.90287837891208E-3</v>
      </c>
      <c r="I371" s="140">
        <v>-6.3904502072575954E-3</v>
      </c>
    </row>
    <row r="372" spans="1:9" x14ac:dyDescent="0.25">
      <c r="A372">
        <v>121</v>
      </c>
      <c r="B372" t="s">
        <v>532</v>
      </c>
      <c r="C372" t="s">
        <v>167</v>
      </c>
      <c r="D372" t="s">
        <v>168</v>
      </c>
      <c r="E372" t="s">
        <v>133</v>
      </c>
      <c r="F372" t="s">
        <v>528</v>
      </c>
      <c r="G372" s="78" t="s">
        <v>875</v>
      </c>
      <c r="H372" s="140">
        <v>-5.5999999999999999E-3</v>
      </c>
      <c r="I372" s="140">
        <v>-5.7999999999999996E-3</v>
      </c>
    </row>
    <row r="373" spans="1:9" x14ac:dyDescent="0.25">
      <c r="A373">
        <v>170</v>
      </c>
      <c r="B373" t="s">
        <v>533</v>
      </c>
      <c r="C373" t="s">
        <v>167</v>
      </c>
      <c r="D373" t="s">
        <v>168</v>
      </c>
      <c r="E373" t="s">
        <v>133</v>
      </c>
      <c r="F373" t="s">
        <v>528</v>
      </c>
      <c r="G373" s="78" t="s">
        <v>872</v>
      </c>
      <c r="H373" s="140">
        <v>-2.5164766914216939E-3</v>
      </c>
      <c r="I373" s="140">
        <v>-4.4999999999999997E-3</v>
      </c>
    </row>
    <row r="374" spans="1:9" x14ac:dyDescent="0.25">
      <c r="A374">
        <v>193</v>
      </c>
      <c r="B374" t="s">
        <v>535</v>
      </c>
      <c r="C374" t="s">
        <v>167</v>
      </c>
      <c r="D374" t="s">
        <v>168</v>
      </c>
      <c r="E374" t="s">
        <v>133</v>
      </c>
      <c r="F374" t="s">
        <v>528</v>
      </c>
      <c r="G374" s="78" t="s">
        <v>872</v>
      </c>
      <c r="H374" s="140">
        <v>-7.4999999999999997E-3</v>
      </c>
      <c r="I374" s="140">
        <v>-7.1000000000000004E-3</v>
      </c>
    </row>
    <row r="375" spans="1:9" x14ac:dyDescent="0.25">
      <c r="A375">
        <v>434</v>
      </c>
      <c r="B375" t="s">
        <v>536</v>
      </c>
      <c r="C375" t="s">
        <v>167</v>
      </c>
      <c r="D375" t="s">
        <v>168</v>
      </c>
      <c r="E375" t="s">
        <v>133</v>
      </c>
      <c r="F375" t="s">
        <v>528</v>
      </c>
      <c r="G375" s="78" t="s">
        <v>872</v>
      </c>
      <c r="H375" s="140">
        <v>-1.0500000000000001E-2</v>
      </c>
      <c r="I375" s="140">
        <v>-9.1999999999999998E-3</v>
      </c>
    </row>
    <row r="376" spans="1:9" x14ac:dyDescent="0.25">
      <c r="A376">
        <v>468</v>
      </c>
      <c r="B376" t="s">
        <v>537</v>
      </c>
      <c r="C376" t="s">
        <v>167</v>
      </c>
      <c r="D376" t="s">
        <v>168</v>
      </c>
      <c r="E376" t="s">
        <v>133</v>
      </c>
      <c r="F376" t="s">
        <v>528</v>
      </c>
      <c r="G376" s="78" t="s">
        <v>872</v>
      </c>
      <c r="H376" s="140">
        <v>-7.2955271443971535E-3</v>
      </c>
      <c r="I376" s="140">
        <v>-7.5179835825947387E-3</v>
      </c>
    </row>
    <row r="377" spans="1:9" x14ac:dyDescent="0.25">
      <c r="A377">
        <v>1119</v>
      </c>
      <c r="B377" t="s">
        <v>539</v>
      </c>
      <c r="C377" t="s">
        <v>167</v>
      </c>
      <c r="D377" t="s">
        <v>168</v>
      </c>
      <c r="E377" t="s">
        <v>133</v>
      </c>
      <c r="F377" t="s">
        <v>528</v>
      </c>
      <c r="G377" s="78" t="s">
        <v>873</v>
      </c>
      <c r="H377" s="140">
        <v>-1.0999999999999999E-2</v>
      </c>
      <c r="I377" s="140">
        <v>-8.9999999999999993E-3</v>
      </c>
    </row>
    <row r="378" spans="1:9" x14ac:dyDescent="0.25">
      <c r="A378">
        <v>3009</v>
      </c>
      <c r="B378" t="s">
        <v>301</v>
      </c>
      <c r="C378" t="s">
        <v>66</v>
      </c>
      <c r="D378" t="s">
        <v>63</v>
      </c>
      <c r="E378" t="s">
        <v>133</v>
      </c>
      <c r="F378" t="s">
        <v>293</v>
      </c>
      <c r="G378" s="78" t="s">
        <v>875</v>
      </c>
      <c r="H378" s="140">
        <v>-2.2915435381162309E-3</v>
      </c>
      <c r="I378" s="140">
        <v>-3.4500000000000004E-3</v>
      </c>
    </row>
    <row r="379" spans="1:9" x14ac:dyDescent="0.25">
      <c r="A379">
        <v>3069</v>
      </c>
      <c r="B379" t="s">
        <v>211</v>
      </c>
      <c r="C379" t="s">
        <v>66</v>
      </c>
      <c r="D379" t="s">
        <v>63</v>
      </c>
      <c r="E379" t="s">
        <v>133</v>
      </c>
      <c r="F379" t="s">
        <v>293</v>
      </c>
      <c r="G379" s="78" t="s">
        <v>875</v>
      </c>
      <c r="H379" s="140">
        <v>-1.7963001375353276E-3</v>
      </c>
      <c r="I379" s="140" t="s">
        <v>876</v>
      </c>
    </row>
    <row r="380" spans="1:9" x14ac:dyDescent="0.25">
      <c r="A380">
        <v>66</v>
      </c>
      <c r="B380" t="s">
        <v>292</v>
      </c>
      <c r="C380" t="s">
        <v>167</v>
      </c>
      <c r="D380" t="s">
        <v>63</v>
      </c>
      <c r="E380" t="s">
        <v>133</v>
      </c>
      <c r="F380" t="s">
        <v>293</v>
      </c>
      <c r="G380" s="78" t="s">
        <v>875</v>
      </c>
      <c r="H380" s="140">
        <v>-3.6233204249241711E-3</v>
      </c>
      <c r="I380" s="140">
        <v>-4.4999999999999997E-3</v>
      </c>
    </row>
    <row r="381" spans="1:9" x14ac:dyDescent="0.25">
      <c r="A381">
        <v>604</v>
      </c>
      <c r="B381" t="s">
        <v>298</v>
      </c>
      <c r="C381" t="s">
        <v>167</v>
      </c>
      <c r="D381" t="s">
        <v>63</v>
      </c>
      <c r="E381" t="s">
        <v>133</v>
      </c>
      <c r="F381" t="s">
        <v>293</v>
      </c>
      <c r="G381" s="78" t="s">
        <v>872</v>
      </c>
      <c r="H381" s="140">
        <v>-7.3000000000000001E-3</v>
      </c>
      <c r="I381" s="140">
        <v>-5.8999999999999999E-3</v>
      </c>
    </row>
    <row r="382" spans="1:9" x14ac:dyDescent="0.25">
      <c r="A382">
        <v>1166</v>
      </c>
      <c r="B382" t="s">
        <v>300</v>
      </c>
      <c r="C382" t="s">
        <v>167</v>
      </c>
      <c r="D382" t="s">
        <v>63</v>
      </c>
      <c r="E382" t="s">
        <v>133</v>
      </c>
      <c r="F382" t="s">
        <v>293</v>
      </c>
      <c r="G382" s="78" t="s">
        <v>874</v>
      </c>
      <c r="H382" s="140">
        <v>-6.616155947389026E-3</v>
      </c>
      <c r="I382" s="140">
        <v>-6.616155947389026E-3</v>
      </c>
    </row>
    <row r="383" spans="1:9" x14ac:dyDescent="0.25">
      <c r="A383">
        <v>1218</v>
      </c>
      <c r="B383" t="s">
        <v>883</v>
      </c>
      <c r="C383" t="s">
        <v>167</v>
      </c>
      <c r="D383" t="s">
        <v>63</v>
      </c>
      <c r="E383" t="s">
        <v>133</v>
      </c>
      <c r="F383" t="s">
        <v>293</v>
      </c>
      <c r="G383" s="78" t="s">
        <v>874</v>
      </c>
      <c r="H383" s="140" t="s">
        <v>876</v>
      </c>
      <c r="I383" s="140"/>
    </row>
    <row r="384" spans="1:9" x14ac:dyDescent="0.25">
      <c r="A384">
        <v>3118</v>
      </c>
      <c r="B384" t="s">
        <v>848</v>
      </c>
      <c r="C384" t="s">
        <v>66</v>
      </c>
      <c r="D384" t="s">
        <v>63</v>
      </c>
      <c r="E384" t="s">
        <v>133</v>
      </c>
      <c r="F384" t="s">
        <v>293</v>
      </c>
      <c r="G384" s="78" t="s">
        <v>874</v>
      </c>
      <c r="H384" s="140" t="s">
        <v>876</v>
      </c>
      <c r="I384" s="140">
        <v>-4.4999999999999997E-3</v>
      </c>
    </row>
    <row r="385" spans="1:9" x14ac:dyDescent="0.25">
      <c r="A385">
        <v>4600</v>
      </c>
      <c r="B385" t="s">
        <v>884</v>
      </c>
      <c r="C385" t="s">
        <v>863</v>
      </c>
      <c r="D385" t="s">
        <v>63</v>
      </c>
      <c r="E385" t="s">
        <v>133</v>
      </c>
      <c r="F385" t="s">
        <v>293</v>
      </c>
      <c r="G385" s="78" t="s">
        <v>872</v>
      </c>
      <c r="H385" s="140">
        <v>-7.4999999999999997E-3</v>
      </c>
      <c r="I385" s="140">
        <v>-7.1000000000000004E-3</v>
      </c>
    </row>
    <row r="386" spans="1:9" x14ac:dyDescent="0.25">
      <c r="A386">
        <v>4610</v>
      </c>
      <c r="B386" t="s">
        <v>885</v>
      </c>
      <c r="C386" t="s">
        <v>863</v>
      </c>
      <c r="D386" t="s">
        <v>63</v>
      </c>
      <c r="E386" t="s">
        <v>133</v>
      </c>
      <c r="F386" t="s">
        <v>293</v>
      </c>
      <c r="G386" s="78" t="s">
        <v>874</v>
      </c>
      <c r="H386" s="140" t="s">
        <v>876</v>
      </c>
      <c r="I386" s="140"/>
    </row>
    <row r="387" spans="1:9" x14ac:dyDescent="0.25">
      <c r="A387">
        <v>329</v>
      </c>
      <c r="B387" t="s">
        <v>296</v>
      </c>
      <c r="C387" t="s">
        <v>167</v>
      </c>
      <c r="D387" t="s">
        <v>63</v>
      </c>
      <c r="E387" t="s">
        <v>133</v>
      </c>
      <c r="F387" t="s">
        <v>293</v>
      </c>
      <c r="G387" s="78" t="s">
        <v>875</v>
      </c>
      <c r="H387" s="140">
        <v>-7.1000000000000004E-3</v>
      </c>
      <c r="I387" s="140">
        <v>-9.7999999999999997E-3</v>
      </c>
    </row>
    <row r="388" spans="1:9" x14ac:dyDescent="0.25">
      <c r="A388">
        <v>259</v>
      </c>
      <c r="B388" t="s">
        <v>294</v>
      </c>
      <c r="C388" t="s">
        <v>167</v>
      </c>
      <c r="D388" t="s">
        <v>63</v>
      </c>
      <c r="E388" t="s">
        <v>133</v>
      </c>
      <c r="F388" t="s">
        <v>293</v>
      </c>
      <c r="G388" s="78" t="s">
        <v>872</v>
      </c>
      <c r="H388" s="140">
        <v>-7.7357797559399911E-3</v>
      </c>
      <c r="I388" s="140">
        <v>-7.2758168426048592E-3</v>
      </c>
    </row>
    <row r="389" spans="1:9" x14ac:dyDescent="0.25">
      <c r="A389">
        <v>291</v>
      </c>
      <c r="B389" t="s">
        <v>295</v>
      </c>
      <c r="C389" t="s">
        <v>167</v>
      </c>
      <c r="D389" t="s">
        <v>63</v>
      </c>
      <c r="E389" t="s">
        <v>133</v>
      </c>
      <c r="F389" t="s">
        <v>293</v>
      </c>
      <c r="G389" s="78" t="s">
        <v>872</v>
      </c>
      <c r="H389" s="140">
        <v>-7.1727768122544578E-3</v>
      </c>
      <c r="I389" s="140">
        <v>-7.3499228241246141E-3</v>
      </c>
    </row>
    <row r="390" spans="1:9" x14ac:dyDescent="0.25">
      <c r="A390">
        <v>405</v>
      </c>
      <c r="B390" t="s">
        <v>297</v>
      </c>
      <c r="C390" t="s">
        <v>167</v>
      </c>
      <c r="D390" t="s">
        <v>63</v>
      </c>
      <c r="E390" t="s">
        <v>133</v>
      </c>
      <c r="F390" t="s">
        <v>293</v>
      </c>
      <c r="G390" s="78" t="s">
        <v>872</v>
      </c>
      <c r="H390" s="140">
        <v>-3.9726616309700442E-3</v>
      </c>
      <c r="I390" s="140">
        <v>-4.4999999999999997E-3</v>
      </c>
    </row>
    <row r="391" spans="1:9" x14ac:dyDescent="0.25">
      <c r="A391">
        <v>1021</v>
      </c>
      <c r="B391" t="s">
        <v>299</v>
      </c>
      <c r="C391" t="s">
        <v>167</v>
      </c>
      <c r="D391" t="s">
        <v>63</v>
      </c>
      <c r="E391" t="s">
        <v>133</v>
      </c>
      <c r="F391" t="s">
        <v>293</v>
      </c>
      <c r="G391" s="78" t="s">
        <v>875</v>
      </c>
      <c r="H391" s="140">
        <v>-5.7999999999999996E-3</v>
      </c>
      <c r="I391" s="140">
        <v>-7.0000000000000001E-3</v>
      </c>
    </row>
    <row r="392" spans="1:9" x14ac:dyDescent="0.25">
      <c r="A392">
        <v>94</v>
      </c>
      <c r="B392" t="s">
        <v>306</v>
      </c>
      <c r="C392" t="s">
        <v>167</v>
      </c>
      <c r="D392" t="s">
        <v>63</v>
      </c>
      <c r="E392" t="s">
        <v>133</v>
      </c>
      <c r="F392" t="s">
        <v>303</v>
      </c>
      <c r="G392" s="78" t="s">
        <v>875</v>
      </c>
      <c r="H392" s="140">
        <v>-2.2000000000000001E-3</v>
      </c>
      <c r="I392" s="140">
        <v>-4.0000000000000001E-3</v>
      </c>
    </row>
    <row r="393" spans="1:9" x14ac:dyDescent="0.25">
      <c r="A393">
        <v>607</v>
      </c>
      <c r="B393" t="s">
        <v>310</v>
      </c>
      <c r="C393" t="s">
        <v>167</v>
      </c>
      <c r="D393" t="s">
        <v>63</v>
      </c>
      <c r="E393" t="s">
        <v>133</v>
      </c>
      <c r="F393" t="s">
        <v>303</v>
      </c>
      <c r="G393" s="78" t="s">
        <v>875</v>
      </c>
      <c r="H393" s="140">
        <v>-3.9004603010017198E-3</v>
      </c>
      <c r="I393" s="140">
        <v>-4.4999999999999997E-3</v>
      </c>
    </row>
    <row r="394" spans="1:9" x14ac:dyDescent="0.25">
      <c r="A394">
        <v>1177</v>
      </c>
      <c r="B394" t="s">
        <v>312</v>
      </c>
      <c r="C394" t="s">
        <v>167</v>
      </c>
      <c r="D394" t="s">
        <v>63</v>
      </c>
      <c r="E394" t="s">
        <v>133</v>
      </c>
      <c r="F394" t="s">
        <v>303</v>
      </c>
      <c r="G394" s="78" t="s">
        <v>873</v>
      </c>
      <c r="H394" s="140">
        <v>-1.1900000000000001E-2</v>
      </c>
      <c r="I394" s="140">
        <v>-8.3999999999999995E-3</v>
      </c>
    </row>
    <row r="395" spans="1:9" x14ac:dyDescent="0.25">
      <c r="A395">
        <v>1268</v>
      </c>
      <c r="B395" t="s">
        <v>886</v>
      </c>
      <c r="C395" t="s">
        <v>167</v>
      </c>
      <c r="D395" t="s">
        <v>63</v>
      </c>
      <c r="E395" t="s">
        <v>133</v>
      </c>
      <c r="F395" t="s">
        <v>303</v>
      </c>
      <c r="G395" s="78" t="s">
        <v>874</v>
      </c>
      <c r="H395" s="140" t="s">
        <v>876</v>
      </c>
      <c r="I395" s="140"/>
    </row>
    <row r="396" spans="1:9" x14ac:dyDescent="0.25">
      <c r="A396">
        <v>88</v>
      </c>
      <c r="B396" t="s">
        <v>302</v>
      </c>
      <c r="C396" t="s">
        <v>167</v>
      </c>
      <c r="D396" t="s">
        <v>63</v>
      </c>
      <c r="E396" t="s">
        <v>133</v>
      </c>
      <c r="F396" t="s">
        <v>303</v>
      </c>
      <c r="G396" s="78" t="s">
        <v>872</v>
      </c>
      <c r="H396" s="140">
        <v>-8.6E-3</v>
      </c>
      <c r="I396" s="140">
        <v>-7.7000000000000002E-3</v>
      </c>
    </row>
    <row r="397" spans="1:9" x14ac:dyDescent="0.25">
      <c r="A397">
        <v>687</v>
      </c>
      <c r="B397" t="s">
        <v>311</v>
      </c>
      <c r="C397" t="s">
        <v>167</v>
      </c>
      <c r="D397" t="s">
        <v>63</v>
      </c>
      <c r="E397" t="s">
        <v>133</v>
      </c>
      <c r="F397" t="s">
        <v>303</v>
      </c>
      <c r="G397" s="78" t="s">
        <v>873</v>
      </c>
      <c r="H397" s="140">
        <v>-7.3098838213523981E-3</v>
      </c>
      <c r="I397" s="140">
        <v>-7.4849333668420602E-3</v>
      </c>
    </row>
    <row r="398" spans="1:9" x14ac:dyDescent="0.25">
      <c r="A398">
        <v>92</v>
      </c>
      <c r="B398" t="s">
        <v>304</v>
      </c>
      <c r="C398" t="s">
        <v>167</v>
      </c>
      <c r="D398" t="s">
        <v>63</v>
      </c>
      <c r="E398" s="31" t="s">
        <v>133</v>
      </c>
      <c r="F398" t="s">
        <v>303</v>
      </c>
      <c r="G398" s="78" t="s">
        <v>873</v>
      </c>
      <c r="H398" s="140">
        <v>-1.12E-2</v>
      </c>
      <c r="I398" s="140">
        <v>-5.1999999999999998E-3</v>
      </c>
    </row>
    <row r="399" spans="1:9" x14ac:dyDescent="0.25">
      <c r="A399">
        <v>93</v>
      </c>
      <c r="B399" t="s">
        <v>305</v>
      </c>
      <c r="C399" t="s">
        <v>167</v>
      </c>
      <c r="D399" t="s">
        <v>63</v>
      </c>
      <c r="E399" s="31" t="s">
        <v>133</v>
      </c>
      <c r="F399" t="s">
        <v>303</v>
      </c>
      <c r="G399" s="78" t="s">
        <v>872</v>
      </c>
      <c r="H399" s="140">
        <v>-7.0000000000000001E-3</v>
      </c>
      <c r="I399" s="140">
        <v>-5.5999999999999999E-3</v>
      </c>
    </row>
    <row r="400" spans="1:9" x14ac:dyDescent="0.25">
      <c r="A400">
        <v>96</v>
      </c>
      <c r="B400" t="s">
        <v>307</v>
      </c>
      <c r="C400" t="s">
        <v>167</v>
      </c>
      <c r="D400" t="s">
        <v>63</v>
      </c>
      <c r="E400" s="31" t="s">
        <v>133</v>
      </c>
      <c r="F400" t="s">
        <v>303</v>
      </c>
      <c r="G400" s="78" t="s">
        <v>872</v>
      </c>
      <c r="H400" s="140">
        <v>-8.6221016343238678E-3</v>
      </c>
      <c r="I400" s="140">
        <v>-8.5324989076309248E-3</v>
      </c>
    </row>
    <row r="401" spans="1:9" x14ac:dyDescent="0.25">
      <c r="A401">
        <v>360</v>
      </c>
      <c r="B401" t="s">
        <v>308</v>
      </c>
      <c r="C401" t="s">
        <v>167</v>
      </c>
      <c r="D401" t="s">
        <v>63</v>
      </c>
      <c r="E401" s="31" t="s">
        <v>133</v>
      </c>
      <c r="F401" t="s">
        <v>303</v>
      </c>
      <c r="G401" s="78" t="s">
        <v>872</v>
      </c>
      <c r="H401" s="140">
        <v>-5.0832044347941599E-3</v>
      </c>
      <c r="I401" s="140">
        <v>-4.8910577245300235E-3</v>
      </c>
    </row>
    <row r="402" spans="1:9" x14ac:dyDescent="0.25">
      <c r="A402">
        <v>432</v>
      </c>
      <c r="B402" t="s">
        <v>309</v>
      </c>
      <c r="C402" t="s">
        <v>167</v>
      </c>
      <c r="D402" t="s">
        <v>63</v>
      </c>
      <c r="E402" s="31" t="s">
        <v>133</v>
      </c>
      <c r="F402" t="s">
        <v>303</v>
      </c>
      <c r="G402" s="78" t="s">
        <v>872</v>
      </c>
      <c r="H402" s="140">
        <v>-5.7155424771833298E-3</v>
      </c>
      <c r="I402" s="140">
        <v>-5.7591814350351073E-3</v>
      </c>
    </row>
    <row r="403" spans="1:9" x14ac:dyDescent="0.25">
      <c r="A403">
        <v>3092</v>
      </c>
      <c r="B403" t="s">
        <v>550</v>
      </c>
      <c r="C403" t="s">
        <v>66</v>
      </c>
      <c r="D403" t="s">
        <v>168</v>
      </c>
      <c r="E403" s="31" t="s">
        <v>133</v>
      </c>
      <c r="F403" t="s">
        <v>545</v>
      </c>
      <c r="G403" s="78" t="s">
        <v>875</v>
      </c>
      <c r="H403" s="140">
        <v>-3.917626225568357E-3</v>
      </c>
      <c r="I403" s="140">
        <v>-3.4500000000000004E-3</v>
      </c>
    </row>
    <row r="404" spans="1:9" x14ac:dyDescent="0.25">
      <c r="A404">
        <v>229</v>
      </c>
      <c r="B404" t="s">
        <v>551</v>
      </c>
      <c r="C404" t="s">
        <v>167</v>
      </c>
      <c r="D404" t="s">
        <v>168</v>
      </c>
      <c r="E404" s="31" t="s">
        <v>133</v>
      </c>
      <c r="F404" t="s">
        <v>545</v>
      </c>
      <c r="G404" s="78" t="s">
        <v>875</v>
      </c>
      <c r="H404" s="140">
        <v>-4.7000000000000002E-3</v>
      </c>
      <c r="I404" s="140">
        <v>-4.7999999999999996E-3</v>
      </c>
    </row>
    <row r="405" spans="1:9" x14ac:dyDescent="0.25">
      <c r="A405">
        <v>1127</v>
      </c>
      <c r="B405" t="s">
        <v>552</v>
      </c>
      <c r="C405" t="s">
        <v>167</v>
      </c>
      <c r="D405" t="s">
        <v>168</v>
      </c>
      <c r="E405" s="31" t="s">
        <v>133</v>
      </c>
      <c r="F405" t="s">
        <v>545</v>
      </c>
      <c r="G405" s="78" t="s">
        <v>875</v>
      </c>
      <c r="H405" s="140">
        <v>-2.5999999999999999E-3</v>
      </c>
      <c r="I405" s="140">
        <v>-5.7999999999999996E-3</v>
      </c>
    </row>
    <row r="406" spans="1:9" x14ac:dyDescent="0.25">
      <c r="A406">
        <v>7</v>
      </c>
      <c r="B406" t="s">
        <v>544</v>
      </c>
      <c r="C406" t="s">
        <v>167</v>
      </c>
      <c r="D406" t="s">
        <v>168</v>
      </c>
      <c r="E406" s="31" t="s">
        <v>133</v>
      </c>
      <c r="F406" t="s">
        <v>545</v>
      </c>
      <c r="G406" s="78" t="s">
        <v>873</v>
      </c>
      <c r="H406" s="140">
        <v>-9.1532656526559942E-3</v>
      </c>
      <c r="I406" s="140">
        <v>-9.3822645386367788E-3</v>
      </c>
    </row>
    <row r="407" spans="1:9" x14ac:dyDescent="0.25">
      <c r="A407">
        <v>16</v>
      </c>
      <c r="B407" t="s">
        <v>548</v>
      </c>
      <c r="C407" t="s">
        <v>167</v>
      </c>
      <c r="D407" t="s">
        <v>168</v>
      </c>
      <c r="E407" s="31" t="s">
        <v>133</v>
      </c>
      <c r="F407" t="s">
        <v>545</v>
      </c>
      <c r="G407" s="78" t="s">
        <v>872</v>
      </c>
      <c r="H407" s="140">
        <v>-8.3000000000000001E-3</v>
      </c>
      <c r="I407" s="140">
        <v>-8.3000000000000001E-3</v>
      </c>
    </row>
    <row r="408" spans="1:9" x14ac:dyDescent="0.25">
      <c r="A408">
        <v>8</v>
      </c>
      <c r="B408" t="s">
        <v>546</v>
      </c>
      <c r="C408" t="s">
        <v>167</v>
      </c>
      <c r="D408" t="s">
        <v>168</v>
      </c>
      <c r="E408" s="31" t="s">
        <v>133</v>
      </c>
      <c r="F408" t="s">
        <v>545</v>
      </c>
      <c r="G408" s="78" t="s">
        <v>872</v>
      </c>
      <c r="H408" s="140">
        <v>-6.3E-3</v>
      </c>
      <c r="I408" s="140">
        <v>-5.7999999999999996E-3</v>
      </c>
    </row>
    <row r="409" spans="1:9" s="31" customFormat="1" x14ac:dyDescent="0.25">
      <c r="A409" s="31">
        <v>15</v>
      </c>
      <c r="B409" s="31" t="s">
        <v>547</v>
      </c>
      <c r="C409" s="31" t="s">
        <v>167</v>
      </c>
      <c r="D409" s="31" t="s">
        <v>168</v>
      </c>
      <c r="E409" s="31" t="s">
        <v>133</v>
      </c>
      <c r="F409" s="31" t="s">
        <v>545</v>
      </c>
      <c r="G409" s="78" t="s">
        <v>872</v>
      </c>
      <c r="H409" s="140">
        <v>-8.0999999999999996E-3</v>
      </c>
      <c r="I409" s="140">
        <v>-7.7999999999999996E-3</v>
      </c>
    </row>
    <row r="410" spans="1:9" x14ac:dyDescent="0.25">
      <c r="A410">
        <v>154</v>
      </c>
      <c r="B410" t="s">
        <v>549</v>
      </c>
      <c r="C410" t="s">
        <v>167</v>
      </c>
      <c r="D410" t="s">
        <v>168</v>
      </c>
      <c r="E410" t="s">
        <v>133</v>
      </c>
      <c r="F410" t="s">
        <v>545</v>
      </c>
      <c r="G410" s="78" t="s">
        <v>872</v>
      </c>
      <c r="H410" s="140">
        <v>-7.7000000000000002E-3</v>
      </c>
      <c r="I410" s="140">
        <v>-5.7999999999999996E-3</v>
      </c>
    </row>
    <row r="411" spans="1:9" x14ac:dyDescent="0.25">
      <c r="A411">
        <v>171</v>
      </c>
      <c r="B411" t="s">
        <v>550</v>
      </c>
      <c r="C411" t="s">
        <v>167</v>
      </c>
      <c r="D411" t="s">
        <v>168</v>
      </c>
      <c r="E411" t="s">
        <v>133</v>
      </c>
      <c r="F411" t="s">
        <v>545</v>
      </c>
      <c r="G411" s="78" t="s">
        <v>872</v>
      </c>
      <c r="H411" s="140">
        <v>-6.3E-3</v>
      </c>
      <c r="I411" s="140">
        <v>-6.0000000000000001E-3</v>
      </c>
    </row>
    <row r="412" spans="1:9" x14ac:dyDescent="0.25">
      <c r="A412">
        <v>230</v>
      </c>
      <c r="B412" t="s">
        <v>211</v>
      </c>
      <c r="C412" t="s">
        <v>167</v>
      </c>
      <c r="D412" t="s">
        <v>168</v>
      </c>
      <c r="E412" t="s">
        <v>133</v>
      </c>
      <c r="F412" t="s">
        <v>545</v>
      </c>
      <c r="G412" s="78" t="s">
        <v>872</v>
      </c>
      <c r="H412" s="140">
        <v>-4.2182031309835515E-3</v>
      </c>
      <c r="I412" s="140">
        <v>-4.4999999999999997E-3</v>
      </c>
    </row>
    <row r="413" spans="1:9" x14ac:dyDescent="0.25">
      <c r="A413">
        <v>3107</v>
      </c>
      <c r="B413" t="s">
        <v>374</v>
      </c>
      <c r="C413" t="s">
        <v>66</v>
      </c>
      <c r="D413" t="s">
        <v>63</v>
      </c>
      <c r="E413" t="s">
        <v>133</v>
      </c>
      <c r="F413" t="s">
        <v>374</v>
      </c>
      <c r="G413" s="78" t="s">
        <v>875</v>
      </c>
      <c r="H413" s="140">
        <v>-4.344273962473221E-3</v>
      </c>
      <c r="I413" s="140">
        <v>-4.1999999999999997E-3</v>
      </c>
    </row>
    <row r="414" spans="1:9" x14ac:dyDescent="0.25">
      <c r="A414">
        <v>1140</v>
      </c>
      <c r="B414" t="s">
        <v>382</v>
      </c>
      <c r="C414" t="s">
        <v>167</v>
      </c>
      <c r="D414" t="s">
        <v>63</v>
      </c>
      <c r="E414" t="s">
        <v>133</v>
      </c>
      <c r="F414" t="s">
        <v>374</v>
      </c>
      <c r="G414" s="78" t="s">
        <v>875</v>
      </c>
      <c r="H414" s="140">
        <v>-8.2000000000000007E-3</v>
      </c>
      <c r="I414" s="140">
        <v>-8.3999999999999995E-3</v>
      </c>
    </row>
    <row r="415" spans="1:9" x14ac:dyDescent="0.25">
      <c r="A415">
        <v>1181</v>
      </c>
      <c r="B415" t="s">
        <v>244</v>
      </c>
      <c r="C415" t="s">
        <v>167</v>
      </c>
      <c r="D415" t="s">
        <v>63</v>
      </c>
      <c r="E415" t="s">
        <v>133</v>
      </c>
      <c r="F415" t="s">
        <v>374</v>
      </c>
      <c r="G415" s="78" t="s">
        <v>872</v>
      </c>
      <c r="H415" s="140">
        <v>-8.8000000000000005E-3</v>
      </c>
      <c r="I415" s="140">
        <v>-8.3999999999999995E-3</v>
      </c>
    </row>
    <row r="416" spans="1:9" x14ac:dyDescent="0.25">
      <c r="A416">
        <v>17</v>
      </c>
      <c r="B416" t="s">
        <v>373</v>
      </c>
      <c r="C416" t="s">
        <v>167</v>
      </c>
      <c r="D416" t="s">
        <v>63</v>
      </c>
      <c r="E416" t="s">
        <v>133</v>
      </c>
      <c r="F416" t="s">
        <v>374</v>
      </c>
      <c r="G416" s="78" t="s">
        <v>872</v>
      </c>
      <c r="H416" s="140">
        <v>-7.7000000000000002E-3</v>
      </c>
      <c r="I416" s="140">
        <v>-6.8999999999999999E-3</v>
      </c>
    </row>
    <row r="417" spans="1:9" x14ac:dyDescent="0.25">
      <c r="A417">
        <v>19</v>
      </c>
      <c r="B417" t="s">
        <v>375</v>
      </c>
      <c r="C417" t="s">
        <v>167</v>
      </c>
      <c r="D417" t="s">
        <v>63</v>
      </c>
      <c r="E417" t="s">
        <v>133</v>
      </c>
      <c r="F417" t="s">
        <v>374</v>
      </c>
      <c r="G417" s="78" t="s">
        <v>872</v>
      </c>
      <c r="H417" s="140">
        <v>-7.6E-3</v>
      </c>
      <c r="I417" s="140">
        <v>-4.7999999999999996E-3</v>
      </c>
    </row>
    <row r="418" spans="1:9" x14ac:dyDescent="0.25">
      <c r="A418">
        <v>146</v>
      </c>
      <c r="B418" t="s">
        <v>377</v>
      </c>
      <c r="C418" t="s">
        <v>167</v>
      </c>
      <c r="D418" t="s">
        <v>63</v>
      </c>
      <c r="E418" t="s">
        <v>133</v>
      </c>
      <c r="F418" t="s">
        <v>374</v>
      </c>
      <c r="G418" s="78" t="s">
        <v>875</v>
      </c>
      <c r="H418" s="140">
        <v>-1.14E-2</v>
      </c>
      <c r="I418" s="140">
        <v>-1.15E-2</v>
      </c>
    </row>
    <row r="419" spans="1:9" x14ac:dyDescent="0.25">
      <c r="A419">
        <v>187</v>
      </c>
      <c r="B419" t="s">
        <v>378</v>
      </c>
      <c r="C419" t="s">
        <v>167</v>
      </c>
      <c r="D419" t="s">
        <v>63</v>
      </c>
      <c r="E419" t="s">
        <v>133</v>
      </c>
      <c r="F419" t="s">
        <v>374</v>
      </c>
      <c r="G419" s="78" t="s">
        <v>873</v>
      </c>
      <c r="H419" s="140">
        <v>-1.1355876597159604E-2</v>
      </c>
      <c r="I419" s="140">
        <v>-1.1097381323851106E-2</v>
      </c>
    </row>
    <row r="420" spans="1:9" x14ac:dyDescent="0.25">
      <c r="A420">
        <v>425</v>
      </c>
      <c r="B420" t="s">
        <v>380</v>
      </c>
      <c r="C420" t="s">
        <v>167</v>
      </c>
      <c r="D420" t="s">
        <v>63</v>
      </c>
      <c r="E420" t="s">
        <v>133</v>
      </c>
      <c r="F420" t="s">
        <v>374</v>
      </c>
      <c r="G420" s="78" t="s">
        <v>873</v>
      </c>
      <c r="H420" s="140">
        <v>-1.0028751854709216E-2</v>
      </c>
      <c r="I420" s="140">
        <v>-9.9399562956819006E-3</v>
      </c>
    </row>
    <row r="421" spans="1:9" s="31" customFormat="1" x14ac:dyDescent="0.25">
      <c r="A421" s="31">
        <v>1114</v>
      </c>
      <c r="B421" s="31" t="s">
        <v>381</v>
      </c>
      <c r="C421" s="31" t="s">
        <v>167</v>
      </c>
      <c r="D421" s="31" t="s">
        <v>63</v>
      </c>
      <c r="E421" s="31" t="s">
        <v>133</v>
      </c>
      <c r="F421" s="31" t="s">
        <v>374</v>
      </c>
      <c r="G421" s="78" t="s">
        <v>875</v>
      </c>
      <c r="H421" s="140">
        <v>-6.1999999999999998E-3</v>
      </c>
      <c r="I421" s="140">
        <v>-1.0999999999999999E-2</v>
      </c>
    </row>
    <row r="422" spans="1:9" x14ac:dyDescent="0.25">
      <c r="A422">
        <v>26</v>
      </c>
      <c r="B422" t="s">
        <v>376</v>
      </c>
      <c r="C422" t="s">
        <v>167</v>
      </c>
      <c r="D422" t="s">
        <v>63</v>
      </c>
      <c r="E422" t="s">
        <v>133</v>
      </c>
      <c r="F422" t="s">
        <v>374</v>
      </c>
      <c r="G422" s="78" t="s">
        <v>873</v>
      </c>
      <c r="H422" s="140">
        <v>-1.04E-2</v>
      </c>
      <c r="I422" s="140">
        <v>-6.1000000000000004E-3</v>
      </c>
    </row>
    <row r="423" spans="1:9" x14ac:dyDescent="0.25">
      <c r="A423">
        <v>280</v>
      </c>
      <c r="B423" t="s">
        <v>379</v>
      </c>
      <c r="C423" t="s">
        <v>167</v>
      </c>
      <c r="D423" t="s">
        <v>63</v>
      </c>
      <c r="E423" t="s">
        <v>133</v>
      </c>
      <c r="F423" t="s">
        <v>374</v>
      </c>
      <c r="G423" s="78" t="s">
        <v>872</v>
      </c>
      <c r="H423" s="140">
        <v>-1.2211642426779617E-2</v>
      </c>
      <c r="I423" s="140">
        <v>-1.1443799447990732E-2</v>
      </c>
    </row>
    <row r="424" spans="1:9" x14ac:dyDescent="0.25">
      <c r="A424">
        <v>602</v>
      </c>
      <c r="B424" t="s">
        <v>553</v>
      </c>
      <c r="C424" t="s">
        <v>66</v>
      </c>
      <c r="D424" t="s">
        <v>168</v>
      </c>
      <c r="E424" t="s">
        <v>133</v>
      </c>
      <c r="F424" t="s">
        <v>554</v>
      </c>
      <c r="G424" s="78" t="s">
        <v>875</v>
      </c>
      <c r="H424" s="140">
        <v>-4.0858369886105092E-3</v>
      </c>
      <c r="I424" s="140">
        <v>-3.4500000000000004E-3</v>
      </c>
    </row>
    <row r="425" spans="1:9" x14ac:dyDescent="0.25">
      <c r="A425">
        <v>188</v>
      </c>
      <c r="B425" t="s">
        <v>555</v>
      </c>
      <c r="C425" t="s">
        <v>167</v>
      </c>
      <c r="D425" t="s">
        <v>168</v>
      </c>
      <c r="E425" t="s">
        <v>133</v>
      </c>
      <c r="F425" t="s">
        <v>554</v>
      </c>
      <c r="G425" s="78" t="s">
        <v>872</v>
      </c>
      <c r="H425" s="140">
        <v>-5.8999999999999999E-3</v>
      </c>
      <c r="I425" s="140">
        <v>-5.4000000000000003E-3</v>
      </c>
    </row>
    <row r="426" spans="1:9" x14ac:dyDescent="0.25">
      <c r="A426">
        <v>233</v>
      </c>
      <c r="B426" t="s">
        <v>556</v>
      </c>
      <c r="C426" t="s">
        <v>167</v>
      </c>
      <c r="D426" t="s">
        <v>168</v>
      </c>
      <c r="E426" t="s">
        <v>133</v>
      </c>
      <c r="F426" t="s">
        <v>554</v>
      </c>
      <c r="G426" s="78" t="s">
        <v>872</v>
      </c>
      <c r="H426" s="140">
        <v>-5.1999999999999998E-3</v>
      </c>
      <c r="I426" s="140">
        <v>-5.1000000000000004E-3</v>
      </c>
    </row>
    <row r="427" spans="1:9" x14ac:dyDescent="0.25">
      <c r="A427">
        <v>328</v>
      </c>
      <c r="B427" t="s">
        <v>558</v>
      </c>
      <c r="C427" t="s">
        <v>167</v>
      </c>
      <c r="D427" t="s">
        <v>168</v>
      </c>
      <c r="E427" t="s">
        <v>133</v>
      </c>
      <c r="F427" t="s">
        <v>554</v>
      </c>
      <c r="G427" s="78" t="s">
        <v>875</v>
      </c>
      <c r="H427" s="140">
        <v>-7.384854653032626E-3</v>
      </c>
      <c r="I427" s="140">
        <v>-6.8101575243794035E-3</v>
      </c>
    </row>
    <row r="428" spans="1:9" x14ac:dyDescent="0.25">
      <c r="A428">
        <v>1107</v>
      </c>
      <c r="B428" t="s">
        <v>561</v>
      </c>
      <c r="C428" t="s">
        <v>167</v>
      </c>
      <c r="D428" t="s">
        <v>168</v>
      </c>
      <c r="E428" t="s">
        <v>133</v>
      </c>
      <c r="F428" t="s">
        <v>554</v>
      </c>
      <c r="G428" s="78" t="s">
        <v>874</v>
      </c>
      <c r="H428" s="140">
        <v>-1.5133681885239345E-2</v>
      </c>
      <c r="I428" s="140">
        <v>-1.4E-2</v>
      </c>
    </row>
    <row r="429" spans="1:9" x14ac:dyDescent="0.25">
      <c r="A429">
        <v>1142</v>
      </c>
      <c r="B429" t="s">
        <v>562</v>
      </c>
      <c r="C429" t="s">
        <v>167</v>
      </c>
      <c r="D429" t="s">
        <v>168</v>
      </c>
      <c r="E429" t="s">
        <v>133</v>
      </c>
      <c r="F429" t="s">
        <v>554</v>
      </c>
      <c r="G429" s="78" t="s">
        <v>872</v>
      </c>
      <c r="H429" s="140">
        <v>-5.1999999999999998E-3</v>
      </c>
      <c r="I429" s="140">
        <v>-8.3999999999999995E-3</v>
      </c>
    </row>
    <row r="430" spans="1:9" x14ac:dyDescent="0.25">
      <c r="A430">
        <v>42</v>
      </c>
      <c r="B430" t="s">
        <v>553</v>
      </c>
      <c r="C430" t="s">
        <v>167</v>
      </c>
      <c r="D430" t="s">
        <v>168</v>
      </c>
      <c r="E430" t="s">
        <v>133</v>
      </c>
      <c r="F430" t="s">
        <v>554</v>
      </c>
      <c r="G430" s="78" t="s">
        <v>873</v>
      </c>
      <c r="H430" s="140">
        <v>-6.6516651223316528E-3</v>
      </c>
      <c r="I430" s="140">
        <v>-7.0000000000000001E-3</v>
      </c>
    </row>
    <row r="431" spans="1:9" x14ac:dyDescent="0.25">
      <c r="A431">
        <v>686</v>
      </c>
      <c r="B431" t="s">
        <v>559</v>
      </c>
      <c r="C431" t="s">
        <v>167</v>
      </c>
      <c r="D431" t="s">
        <v>168</v>
      </c>
      <c r="E431" t="s">
        <v>133</v>
      </c>
      <c r="F431" t="s">
        <v>554</v>
      </c>
      <c r="G431" s="78" t="s">
        <v>873</v>
      </c>
      <c r="H431" s="140">
        <v>-1.0615675440068126E-2</v>
      </c>
      <c r="I431" s="140">
        <v>-1.0725177636222782E-2</v>
      </c>
    </row>
    <row r="432" spans="1:9" x14ac:dyDescent="0.25">
      <c r="A432">
        <v>174</v>
      </c>
      <c r="B432" t="s">
        <v>260</v>
      </c>
      <c r="C432" t="s">
        <v>167</v>
      </c>
      <c r="D432" t="s">
        <v>168</v>
      </c>
      <c r="E432" t="s">
        <v>133</v>
      </c>
      <c r="F432" t="s">
        <v>554</v>
      </c>
      <c r="G432" s="78" t="s">
        <v>872</v>
      </c>
      <c r="H432" s="140">
        <v>-9.1999999999999998E-3</v>
      </c>
      <c r="I432" s="140">
        <v>-9.2999999999999992E-3</v>
      </c>
    </row>
    <row r="433" spans="1:9" x14ac:dyDescent="0.25">
      <c r="A433">
        <v>248</v>
      </c>
      <c r="B433" t="s">
        <v>557</v>
      </c>
      <c r="C433" t="s">
        <v>167</v>
      </c>
      <c r="D433" t="s">
        <v>168</v>
      </c>
      <c r="E433" t="s">
        <v>133</v>
      </c>
      <c r="F433" t="s">
        <v>554</v>
      </c>
      <c r="G433" s="78" t="s">
        <v>872</v>
      </c>
      <c r="H433" s="140">
        <v>-3.5182033864613153E-3</v>
      </c>
      <c r="I433" s="140">
        <v>-4.4999999999999997E-3</v>
      </c>
    </row>
    <row r="434" spans="1:9" x14ac:dyDescent="0.25">
      <c r="A434">
        <v>1012</v>
      </c>
      <c r="B434" t="s">
        <v>560</v>
      </c>
      <c r="C434" t="s">
        <v>167</v>
      </c>
      <c r="D434" t="s">
        <v>168</v>
      </c>
      <c r="E434" t="s">
        <v>133</v>
      </c>
      <c r="F434" t="s">
        <v>554</v>
      </c>
      <c r="G434" s="78" t="s">
        <v>872</v>
      </c>
      <c r="H434" s="140">
        <v>-7.2957949502909288E-3</v>
      </c>
      <c r="I434" s="140">
        <v>-6.8775515690460568E-3</v>
      </c>
    </row>
    <row r="435" spans="1:9" x14ac:dyDescent="0.25">
      <c r="A435">
        <v>1233</v>
      </c>
      <c r="B435" t="s">
        <v>895</v>
      </c>
      <c r="C435" t="s">
        <v>167</v>
      </c>
      <c r="D435" t="s">
        <v>168</v>
      </c>
      <c r="E435" t="s">
        <v>133</v>
      </c>
      <c r="F435" t="s">
        <v>563</v>
      </c>
      <c r="G435" s="78" t="s">
        <v>874</v>
      </c>
      <c r="H435" s="140" t="s">
        <v>876</v>
      </c>
      <c r="I435" s="140"/>
    </row>
    <row r="436" spans="1:9" x14ac:dyDescent="0.25">
      <c r="A436">
        <v>129</v>
      </c>
      <c r="B436" t="s">
        <v>566</v>
      </c>
      <c r="C436" t="s">
        <v>167</v>
      </c>
      <c r="D436" t="s">
        <v>168</v>
      </c>
      <c r="E436" t="s">
        <v>133</v>
      </c>
      <c r="F436" t="s">
        <v>563</v>
      </c>
      <c r="G436" s="78" t="s">
        <v>875</v>
      </c>
      <c r="H436" s="140">
        <v>-6.8999999999999999E-3</v>
      </c>
      <c r="I436" s="140">
        <v>-9.2999999999999992E-3</v>
      </c>
    </row>
    <row r="437" spans="1:9" x14ac:dyDescent="0.25">
      <c r="A437">
        <v>144</v>
      </c>
      <c r="B437" t="s">
        <v>567</v>
      </c>
      <c r="C437" t="s">
        <v>167</v>
      </c>
      <c r="D437" t="s">
        <v>168</v>
      </c>
      <c r="E437" t="s">
        <v>133</v>
      </c>
      <c r="F437" t="s">
        <v>563</v>
      </c>
      <c r="G437" s="78" t="s">
        <v>875</v>
      </c>
      <c r="H437" s="140">
        <v>-4.3E-3</v>
      </c>
      <c r="I437" s="140">
        <v>-6.4999999999999997E-3</v>
      </c>
    </row>
    <row r="438" spans="1:9" x14ac:dyDescent="0.25">
      <c r="A438">
        <v>243</v>
      </c>
      <c r="B438" t="s">
        <v>569</v>
      </c>
      <c r="C438" t="s">
        <v>167</v>
      </c>
      <c r="D438" t="s">
        <v>168</v>
      </c>
      <c r="E438" t="s">
        <v>133</v>
      </c>
      <c r="F438" t="s">
        <v>563</v>
      </c>
      <c r="G438" s="78" t="s">
        <v>873</v>
      </c>
      <c r="H438" s="140">
        <v>-8.8634928472256062E-3</v>
      </c>
      <c r="I438" s="140">
        <v>-8.7151866632351714E-3</v>
      </c>
    </row>
    <row r="439" spans="1:9" x14ac:dyDescent="0.25">
      <c r="A439">
        <v>638</v>
      </c>
      <c r="B439" t="s">
        <v>570</v>
      </c>
      <c r="C439" t="s">
        <v>167</v>
      </c>
      <c r="D439" t="s">
        <v>168</v>
      </c>
      <c r="E439" t="s">
        <v>133</v>
      </c>
      <c r="F439" t="s">
        <v>563</v>
      </c>
      <c r="G439" s="78" t="s">
        <v>873</v>
      </c>
      <c r="H439" s="140">
        <v>-7.5297721327371074E-3</v>
      </c>
      <c r="I439" s="140">
        <v>-7.4999999999999997E-3</v>
      </c>
    </row>
    <row r="440" spans="1:9" x14ac:dyDescent="0.25">
      <c r="A440">
        <v>24</v>
      </c>
      <c r="B440" t="s">
        <v>164</v>
      </c>
      <c r="C440" t="s">
        <v>167</v>
      </c>
      <c r="D440" t="s">
        <v>168</v>
      </c>
      <c r="E440" t="s">
        <v>133</v>
      </c>
      <c r="F440" t="s">
        <v>563</v>
      </c>
      <c r="G440" s="78" t="s">
        <v>872</v>
      </c>
      <c r="H440" s="140">
        <v>-5.0784831641208922E-3</v>
      </c>
      <c r="I440" s="140">
        <v>-4.9842953471074328E-3</v>
      </c>
    </row>
    <row r="441" spans="1:9" x14ac:dyDescent="0.25">
      <c r="A441">
        <v>108</v>
      </c>
      <c r="B441" t="s">
        <v>564</v>
      </c>
      <c r="C441" t="s">
        <v>167</v>
      </c>
      <c r="D441" t="s">
        <v>168</v>
      </c>
      <c r="E441" t="s">
        <v>133</v>
      </c>
      <c r="F441" t="s">
        <v>563</v>
      </c>
      <c r="G441" s="78" t="s">
        <v>872</v>
      </c>
      <c r="H441" s="140">
        <v>-1.2810546009807522E-2</v>
      </c>
      <c r="I441" s="140">
        <v>-1.2188435313112474E-2</v>
      </c>
    </row>
    <row r="442" spans="1:9" x14ac:dyDescent="0.25">
      <c r="A442">
        <v>110</v>
      </c>
      <c r="B442" t="s">
        <v>565</v>
      </c>
      <c r="C442" t="s">
        <v>167</v>
      </c>
      <c r="D442" t="s">
        <v>168</v>
      </c>
      <c r="E442" t="s">
        <v>133</v>
      </c>
      <c r="F442" t="s">
        <v>563</v>
      </c>
      <c r="G442" s="78" t="s">
        <v>872</v>
      </c>
      <c r="H442" s="140">
        <v>-3.7992432018534097E-3</v>
      </c>
      <c r="I442" s="140">
        <v>-4.4999999999999997E-3</v>
      </c>
    </row>
    <row r="443" spans="1:9" x14ac:dyDescent="0.25">
      <c r="A443">
        <v>242</v>
      </c>
      <c r="B443" t="s">
        <v>568</v>
      </c>
      <c r="C443" t="s">
        <v>167</v>
      </c>
      <c r="D443" t="s">
        <v>168</v>
      </c>
      <c r="E443" t="s">
        <v>133</v>
      </c>
      <c r="F443" t="s">
        <v>563</v>
      </c>
      <c r="G443" s="78" t="s">
        <v>872</v>
      </c>
      <c r="H443" s="140">
        <v>-6.5623077937150449E-3</v>
      </c>
      <c r="I443" s="140">
        <v>-6.8920574808738503E-3</v>
      </c>
    </row>
    <row r="444" spans="1:9" x14ac:dyDescent="0.25">
      <c r="A444">
        <v>252</v>
      </c>
      <c r="B444" t="s">
        <v>565</v>
      </c>
      <c r="C444" t="s">
        <v>167</v>
      </c>
      <c r="D444" t="s">
        <v>168</v>
      </c>
      <c r="E444" t="s">
        <v>133</v>
      </c>
      <c r="F444" t="s">
        <v>563</v>
      </c>
      <c r="G444" s="78" t="s">
        <v>872</v>
      </c>
      <c r="H444" s="140">
        <v>-5.3833815514789827E-3</v>
      </c>
      <c r="I444" s="140">
        <v>-5.4084684625760474E-3</v>
      </c>
    </row>
    <row r="445" spans="1:9" x14ac:dyDescent="0.25">
      <c r="A445">
        <v>1011</v>
      </c>
      <c r="B445" t="s">
        <v>571</v>
      </c>
      <c r="C445" t="s">
        <v>167</v>
      </c>
      <c r="D445" t="s">
        <v>168</v>
      </c>
      <c r="E445" t="s">
        <v>133</v>
      </c>
      <c r="F445" t="s">
        <v>563</v>
      </c>
      <c r="G445" s="78" t="s">
        <v>872</v>
      </c>
      <c r="H445" s="140">
        <v>-9.4999999999999998E-3</v>
      </c>
      <c r="I445" s="140">
        <v>-8.6999999999999994E-3</v>
      </c>
    </row>
    <row r="446" spans="1:9" x14ac:dyDescent="0.25">
      <c r="A446">
        <v>3070</v>
      </c>
      <c r="B446" t="s">
        <v>326</v>
      </c>
      <c r="C446" t="s">
        <v>66</v>
      </c>
      <c r="D446" t="s">
        <v>63</v>
      </c>
      <c r="E446" t="s">
        <v>133</v>
      </c>
      <c r="F446" t="s">
        <v>326</v>
      </c>
      <c r="G446" s="78" t="s">
        <v>875</v>
      </c>
      <c r="H446" s="140">
        <v>-1.773892540127477E-3</v>
      </c>
      <c r="I446" s="140">
        <v>-3.4500000000000004E-3</v>
      </c>
    </row>
    <row r="447" spans="1:9" x14ac:dyDescent="0.25">
      <c r="A447">
        <v>49</v>
      </c>
      <c r="B447" t="s">
        <v>327</v>
      </c>
      <c r="C447" t="s">
        <v>167</v>
      </c>
      <c r="D447" t="s">
        <v>63</v>
      </c>
      <c r="E447" t="s">
        <v>133</v>
      </c>
      <c r="F447" t="s">
        <v>326</v>
      </c>
      <c r="G447" s="78" t="s">
        <v>875</v>
      </c>
      <c r="H447" s="140">
        <v>-2.5086187453852425E-3</v>
      </c>
      <c r="I447" s="140">
        <v>-4.4999999999999997E-3</v>
      </c>
    </row>
    <row r="448" spans="1:9" x14ac:dyDescent="0.25">
      <c r="A448">
        <v>294</v>
      </c>
      <c r="B448" t="s">
        <v>329</v>
      </c>
      <c r="C448" t="s">
        <v>167</v>
      </c>
      <c r="D448" t="s">
        <v>63</v>
      </c>
      <c r="E448" t="s">
        <v>133</v>
      </c>
      <c r="F448" t="s">
        <v>326</v>
      </c>
      <c r="G448" s="78" t="s">
        <v>875</v>
      </c>
      <c r="H448" s="140">
        <v>-5.0298522627963997E-3</v>
      </c>
      <c r="I448" s="140">
        <v>-4.7852162698628874E-3</v>
      </c>
    </row>
    <row r="449" spans="1:9" x14ac:dyDescent="0.25">
      <c r="A449">
        <v>727</v>
      </c>
      <c r="B449" t="s">
        <v>330</v>
      </c>
      <c r="C449" t="s">
        <v>167</v>
      </c>
      <c r="D449" t="s">
        <v>63</v>
      </c>
      <c r="E449" t="s">
        <v>133</v>
      </c>
      <c r="F449" t="s">
        <v>326</v>
      </c>
      <c r="G449" s="78" t="s">
        <v>875</v>
      </c>
      <c r="H449" s="140">
        <v>-2.7328555491406203E-3</v>
      </c>
      <c r="I449" s="140">
        <v>-4.4999999999999997E-3</v>
      </c>
    </row>
    <row r="450" spans="1:9" x14ac:dyDescent="0.25">
      <c r="A450">
        <v>1013</v>
      </c>
      <c r="B450" t="s">
        <v>331</v>
      </c>
      <c r="C450" t="s">
        <v>167</v>
      </c>
      <c r="D450" t="s">
        <v>63</v>
      </c>
      <c r="E450" t="s">
        <v>133</v>
      </c>
      <c r="F450" t="s">
        <v>326</v>
      </c>
      <c r="G450" s="78" t="s">
        <v>872</v>
      </c>
      <c r="H450" s="140">
        <v>-4.3E-3</v>
      </c>
      <c r="I450" s="140">
        <v>-4.0000000000000001E-3</v>
      </c>
    </row>
    <row r="451" spans="1:9" x14ac:dyDescent="0.25">
      <c r="A451">
        <v>1023</v>
      </c>
      <c r="B451" t="s">
        <v>332</v>
      </c>
      <c r="C451" t="s">
        <v>167</v>
      </c>
      <c r="D451" t="s">
        <v>63</v>
      </c>
      <c r="E451" t="s">
        <v>133</v>
      </c>
      <c r="F451" t="s">
        <v>326</v>
      </c>
      <c r="G451" s="78" t="s">
        <v>872</v>
      </c>
      <c r="H451" s="140">
        <v>-6.7999999999999996E-3</v>
      </c>
      <c r="I451" s="140">
        <v>-4.3E-3</v>
      </c>
    </row>
    <row r="452" spans="1:9" x14ac:dyDescent="0.25">
      <c r="A452">
        <v>1138</v>
      </c>
      <c r="B452" t="s">
        <v>333</v>
      </c>
      <c r="C452" t="s">
        <v>167</v>
      </c>
      <c r="D452" t="s">
        <v>63</v>
      </c>
      <c r="E452" t="s">
        <v>133</v>
      </c>
      <c r="F452" t="s">
        <v>326</v>
      </c>
      <c r="G452" s="78" t="s">
        <v>875</v>
      </c>
      <c r="H452" s="140">
        <v>-1.5E-3</v>
      </c>
      <c r="I452" s="140">
        <v>-4.3E-3</v>
      </c>
    </row>
    <row r="453" spans="1:9" x14ac:dyDescent="0.25">
      <c r="A453">
        <v>1147</v>
      </c>
      <c r="B453" t="s">
        <v>334</v>
      </c>
      <c r="C453" t="s">
        <v>167</v>
      </c>
      <c r="D453" t="s">
        <v>63</v>
      </c>
      <c r="E453" t="s">
        <v>133</v>
      </c>
      <c r="F453" t="s">
        <v>326</v>
      </c>
      <c r="G453" s="78" t="s">
        <v>874</v>
      </c>
      <c r="H453" s="140">
        <v>6.7231436925730493E-3</v>
      </c>
      <c r="I453" s="140">
        <v>-7.4999999999999997E-3</v>
      </c>
    </row>
    <row r="454" spans="1:9" x14ac:dyDescent="0.25">
      <c r="A454">
        <v>89</v>
      </c>
      <c r="B454" t="s">
        <v>328</v>
      </c>
      <c r="C454" t="s">
        <v>167</v>
      </c>
      <c r="D454" t="s">
        <v>63</v>
      </c>
      <c r="E454" t="s">
        <v>133</v>
      </c>
      <c r="F454" t="s">
        <v>326</v>
      </c>
      <c r="G454" s="78" t="s">
        <v>872</v>
      </c>
      <c r="H454" s="140">
        <v>-7.6E-3</v>
      </c>
      <c r="I454" s="140">
        <v>-1.01E-2</v>
      </c>
    </row>
    <row r="455" spans="1:9" x14ac:dyDescent="0.25">
      <c r="A455">
        <v>232</v>
      </c>
      <c r="B455" t="s">
        <v>326</v>
      </c>
      <c r="C455" t="s">
        <v>167</v>
      </c>
      <c r="D455" t="s">
        <v>63</v>
      </c>
      <c r="E455" t="s">
        <v>133</v>
      </c>
      <c r="F455" t="s">
        <v>326</v>
      </c>
      <c r="G455" s="78" t="s">
        <v>873</v>
      </c>
      <c r="H455" s="140">
        <v>-7.5619046358243345E-3</v>
      </c>
      <c r="I455" s="140">
        <v>-7.6824434932395401E-3</v>
      </c>
    </row>
    <row r="456" spans="1:9" x14ac:dyDescent="0.25">
      <c r="A456">
        <v>48</v>
      </c>
      <c r="B456" t="s">
        <v>326</v>
      </c>
      <c r="C456" t="s">
        <v>167</v>
      </c>
      <c r="D456" t="s">
        <v>63</v>
      </c>
      <c r="E456" t="s">
        <v>133</v>
      </c>
      <c r="F456" t="s">
        <v>326</v>
      </c>
      <c r="G456" s="78" t="s">
        <v>872</v>
      </c>
      <c r="H456" s="140">
        <v>-6.7999999999999996E-3</v>
      </c>
      <c r="I456" s="140">
        <v>-8.6999999999999994E-3</v>
      </c>
    </row>
    <row r="457" spans="1:9" x14ac:dyDescent="0.25">
      <c r="A457">
        <v>276</v>
      </c>
      <c r="B457" t="s">
        <v>585</v>
      </c>
      <c r="C457" t="s">
        <v>167</v>
      </c>
      <c r="D457" t="s">
        <v>168</v>
      </c>
      <c r="E457" t="s">
        <v>93</v>
      </c>
      <c r="F457" t="s">
        <v>584</v>
      </c>
      <c r="G457" s="78" t="s">
        <v>875</v>
      </c>
      <c r="H457" s="140">
        <v>-6.1548141608710385E-3</v>
      </c>
      <c r="I457" s="140">
        <v>-5.9898322983767977E-3</v>
      </c>
    </row>
    <row r="458" spans="1:9" x14ac:dyDescent="0.25">
      <c r="A458">
        <v>775</v>
      </c>
      <c r="B458" t="s">
        <v>588</v>
      </c>
      <c r="C458" t="s">
        <v>167</v>
      </c>
      <c r="D458" t="s">
        <v>168</v>
      </c>
      <c r="E458" t="s">
        <v>93</v>
      </c>
      <c r="F458" t="s">
        <v>584</v>
      </c>
      <c r="G458" s="78" t="s">
        <v>875</v>
      </c>
      <c r="H458" s="140">
        <v>-2.6542906809747667E-3</v>
      </c>
      <c r="I458" s="140">
        <v>-4.4999999999999997E-3</v>
      </c>
    </row>
    <row r="459" spans="1:9" x14ac:dyDescent="0.25">
      <c r="A459">
        <v>269</v>
      </c>
      <c r="B459" t="s">
        <v>583</v>
      </c>
      <c r="C459" t="s">
        <v>167</v>
      </c>
      <c r="D459" t="s">
        <v>168</v>
      </c>
      <c r="E459" t="s">
        <v>93</v>
      </c>
      <c r="F459" t="s">
        <v>584</v>
      </c>
      <c r="G459" s="78" t="s">
        <v>875</v>
      </c>
      <c r="H459" s="140">
        <v>-5.7999999999999996E-3</v>
      </c>
      <c r="I459" s="140">
        <v>-8.2000000000000007E-3</v>
      </c>
    </row>
    <row r="460" spans="1:9" x14ac:dyDescent="0.25">
      <c r="A460">
        <v>326</v>
      </c>
      <c r="B460" t="s">
        <v>232</v>
      </c>
      <c r="C460" t="s">
        <v>167</v>
      </c>
      <c r="D460" t="s">
        <v>168</v>
      </c>
      <c r="E460" t="s">
        <v>93</v>
      </c>
      <c r="F460" t="s">
        <v>584</v>
      </c>
      <c r="G460" s="78" t="s">
        <v>872</v>
      </c>
      <c r="H460" s="140">
        <v>-9.1999999999999998E-3</v>
      </c>
      <c r="I460" s="140">
        <v>-6.7999999999999996E-3</v>
      </c>
    </row>
    <row r="461" spans="1:9" x14ac:dyDescent="0.25">
      <c r="A461">
        <v>418</v>
      </c>
      <c r="B461" t="s">
        <v>586</v>
      </c>
      <c r="C461" t="s">
        <v>167</v>
      </c>
      <c r="D461" t="s">
        <v>168</v>
      </c>
      <c r="E461" t="s">
        <v>93</v>
      </c>
      <c r="F461" t="s">
        <v>584</v>
      </c>
      <c r="G461" s="78" t="s">
        <v>873</v>
      </c>
      <c r="H461" s="140">
        <v>-8.8000000000000005E-3</v>
      </c>
      <c r="I461" s="140">
        <v>-6.4000000000000003E-3</v>
      </c>
    </row>
    <row r="462" spans="1:9" x14ac:dyDescent="0.25">
      <c r="A462">
        <v>740</v>
      </c>
      <c r="B462" t="s">
        <v>587</v>
      </c>
      <c r="C462" t="s">
        <v>167</v>
      </c>
      <c r="D462" t="s">
        <v>168</v>
      </c>
      <c r="E462" t="s">
        <v>93</v>
      </c>
      <c r="F462" t="s">
        <v>584</v>
      </c>
      <c r="G462" s="78" t="s">
        <v>873</v>
      </c>
      <c r="H462" s="140">
        <v>-2.582592853489973E-3</v>
      </c>
      <c r="I462" s="140">
        <v>-4.4999999999999997E-3</v>
      </c>
    </row>
    <row r="463" spans="1:9" x14ac:dyDescent="0.25">
      <c r="A463">
        <v>1068</v>
      </c>
      <c r="B463" t="s">
        <v>589</v>
      </c>
      <c r="C463" t="s">
        <v>167</v>
      </c>
      <c r="D463" t="s">
        <v>168</v>
      </c>
      <c r="E463" t="s">
        <v>93</v>
      </c>
      <c r="F463" t="s">
        <v>584</v>
      </c>
      <c r="G463" s="78" t="s">
        <v>875</v>
      </c>
      <c r="H463" s="140">
        <v>-5.5999999999999999E-3</v>
      </c>
      <c r="I463" s="140">
        <v>-8.3000000000000001E-3</v>
      </c>
    </row>
    <row r="464" spans="1:9" x14ac:dyDescent="0.25">
      <c r="A464">
        <v>302</v>
      </c>
      <c r="B464" t="s">
        <v>591</v>
      </c>
      <c r="C464" t="s">
        <v>167</v>
      </c>
      <c r="D464" t="s">
        <v>168</v>
      </c>
      <c r="E464" t="s">
        <v>93</v>
      </c>
      <c r="F464" t="s">
        <v>590</v>
      </c>
      <c r="G464" s="78" t="s">
        <v>875</v>
      </c>
      <c r="H464" s="140">
        <v>-3.6616519274399162E-3</v>
      </c>
      <c r="I464" s="140">
        <v>-4.4999999999999997E-3</v>
      </c>
    </row>
    <row r="465" spans="1:9" x14ac:dyDescent="0.25">
      <c r="A465">
        <v>1090</v>
      </c>
      <c r="B465" t="s">
        <v>186</v>
      </c>
      <c r="C465" t="s">
        <v>167</v>
      </c>
      <c r="D465" t="s">
        <v>168</v>
      </c>
      <c r="E465" t="s">
        <v>93</v>
      </c>
      <c r="F465" t="s">
        <v>590</v>
      </c>
      <c r="G465" s="78" t="s">
        <v>875</v>
      </c>
      <c r="H465" s="140">
        <v>-2.5999999999999999E-3</v>
      </c>
      <c r="I465" s="140">
        <v>-6.7999999999999996E-3</v>
      </c>
    </row>
    <row r="466" spans="1:9" x14ac:dyDescent="0.25">
      <c r="A466">
        <v>1196</v>
      </c>
      <c r="B466" t="s">
        <v>851</v>
      </c>
      <c r="C466" t="s">
        <v>167</v>
      </c>
      <c r="D466" t="s">
        <v>168</v>
      </c>
      <c r="E466" t="s">
        <v>93</v>
      </c>
      <c r="F466" t="s">
        <v>590</v>
      </c>
      <c r="G466" s="78" t="s">
        <v>874</v>
      </c>
      <c r="H466" s="140" t="s">
        <v>876</v>
      </c>
      <c r="I466" s="140">
        <v>-8.6E-3</v>
      </c>
    </row>
    <row r="467" spans="1:9" x14ac:dyDescent="0.25">
      <c r="A467">
        <v>333</v>
      </c>
      <c r="B467" t="s">
        <v>592</v>
      </c>
      <c r="C467" t="s">
        <v>167</v>
      </c>
      <c r="D467" t="s">
        <v>168</v>
      </c>
      <c r="E467" t="s">
        <v>93</v>
      </c>
      <c r="F467" t="s">
        <v>590</v>
      </c>
      <c r="G467" s="78" t="s">
        <v>873</v>
      </c>
      <c r="H467" s="140">
        <v>-6.8422782535770971E-3</v>
      </c>
      <c r="I467" s="140">
        <v>-7.0291880256253877E-3</v>
      </c>
    </row>
    <row r="468" spans="1:9" x14ac:dyDescent="0.25">
      <c r="A468">
        <v>417</v>
      </c>
      <c r="B468" t="s">
        <v>593</v>
      </c>
      <c r="C468" t="s">
        <v>167</v>
      </c>
      <c r="D468" t="s">
        <v>168</v>
      </c>
      <c r="E468" t="s">
        <v>93</v>
      </c>
      <c r="F468" t="s">
        <v>590</v>
      </c>
      <c r="G468" s="78" t="s">
        <v>873</v>
      </c>
      <c r="H468" s="140">
        <v>-8.938044593570036E-3</v>
      </c>
      <c r="I468" s="140">
        <v>-8.7852006164292895E-3</v>
      </c>
    </row>
    <row r="469" spans="1:9" x14ac:dyDescent="0.25">
      <c r="A469">
        <v>1002</v>
      </c>
      <c r="B469" t="s">
        <v>595</v>
      </c>
      <c r="C469" t="s">
        <v>167</v>
      </c>
      <c r="D469" t="s">
        <v>168</v>
      </c>
      <c r="E469" t="s">
        <v>93</v>
      </c>
      <c r="F469" t="s">
        <v>590</v>
      </c>
      <c r="G469" s="78" t="s">
        <v>875</v>
      </c>
      <c r="H469" s="140">
        <v>-7.6E-3</v>
      </c>
      <c r="I469" s="140">
        <v>-9.5999999999999992E-3</v>
      </c>
    </row>
    <row r="470" spans="1:9" s="31" customFormat="1" x14ac:dyDescent="0.25">
      <c r="A470" s="31">
        <v>325</v>
      </c>
      <c r="B470" s="31" t="s">
        <v>656</v>
      </c>
      <c r="C470" s="31" t="s">
        <v>167</v>
      </c>
      <c r="D470" s="31" t="s">
        <v>63</v>
      </c>
      <c r="E470" s="31" t="s">
        <v>93</v>
      </c>
      <c r="F470" s="31" t="s">
        <v>590</v>
      </c>
      <c r="G470" s="78" t="s">
        <v>873</v>
      </c>
      <c r="H470" s="140">
        <v>-1.0028189934045809E-2</v>
      </c>
      <c r="I470" s="140">
        <v>-9.7944796602756068E-3</v>
      </c>
    </row>
    <row r="471" spans="1:9" x14ac:dyDescent="0.25">
      <c r="A471">
        <v>301</v>
      </c>
      <c r="B471" t="s">
        <v>332</v>
      </c>
      <c r="C471" t="s">
        <v>167</v>
      </c>
      <c r="D471" t="s">
        <v>168</v>
      </c>
      <c r="E471" t="s">
        <v>93</v>
      </c>
      <c r="F471" t="s">
        <v>590</v>
      </c>
      <c r="G471" s="78" t="s">
        <v>872</v>
      </c>
      <c r="H471" s="140">
        <v>-2.526274661139449E-3</v>
      </c>
      <c r="I471" s="140">
        <v>-4.4999999999999997E-3</v>
      </c>
    </row>
    <row r="472" spans="1:9" x14ac:dyDescent="0.25">
      <c r="A472">
        <v>419</v>
      </c>
      <c r="B472" t="s">
        <v>594</v>
      </c>
      <c r="C472" t="s">
        <v>167</v>
      </c>
      <c r="D472" t="s">
        <v>168</v>
      </c>
      <c r="E472" t="s">
        <v>93</v>
      </c>
      <c r="F472" t="s">
        <v>590</v>
      </c>
      <c r="G472" s="78" t="s">
        <v>873</v>
      </c>
      <c r="H472" s="140">
        <v>-1.26E-2</v>
      </c>
      <c r="I472" s="140">
        <v>-7.9000000000000008E-3</v>
      </c>
    </row>
    <row r="473" spans="1:9" x14ac:dyDescent="0.25">
      <c r="A473">
        <v>3075</v>
      </c>
      <c r="B473" t="s">
        <v>605</v>
      </c>
      <c r="C473" t="s">
        <v>66</v>
      </c>
      <c r="D473" t="s">
        <v>168</v>
      </c>
      <c r="E473" t="s">
        <v>93</v>
      </c>
      <c r="F473" t="s">
        <v>597</v>
      </c>
      <c r="G473" s="78" t="s">
        <v>875</v>
      </c>
      <c r="H473" s="140">
        <v>-2.7306852526583405E-3</v>
      </c>
      <c r="I473" s="140">
        <v>-3.4500000000000004E-3</v>
      </c>
    </row>
    <row r="474" spans="1:9" x14ac:dyDescent="0.25">
      <c r="A474">
        <v>215</v>
      </c>
      <c r="B474" t="s">
        <v>601</v>
      </c>
      <c r="C474" t="s">
        <v>167</v>
      </c>
      <c r="D474" t="s">
        <v>168</v>
      </c>
      <c r="E474" t="s">
        <v>93</v>
      </c>
      <c r="F474" t="s">
        <v>597</v>
      </c>
      <c r="G474" s="78" t="s">
        <v>875</v>
      </c>
      <c r="H474" s="140">
        <v>-4.9627401054357101E-4</v>
      </c>
      <c r="I474" s="140">
        <v>-4.4999999999999997E-3</v>
      </c>
    </row>
    <row r="475" spans="1:9" x14ac:dyDescent="0.25">
      <c r="A475">
        <v>336</v>
      </c>
      <c r="B475" t="s">
        <v>475</v>
      </c>
      <c r="C475" t="s">
        <v>167</v>
      </c>
      <c r="D475" t="s">
        <v>168</v>
      </c>
      <c r="E475" t="s">
        <v>93</v>
      </c>
      <c r="F475" t="s">
        <v>597</v>
      </c>
      <c r="G475" s="78" t="s">
        <v>875</v>
      </c>
      <c r="H475" s="140">
        <v>-2.8791917556323099E-3</v>
      </c>
      <c r="I475" s="140">
        <v>-4.4999999999999997E-3</v>
      </c>
    </row>
    <row r="476" spans="1:9" x14ac:dyDescent="0.25">
      <c r="A476">
        <v>1191</v>
      </c>
      <c r="B476" t="s">
        <v>208</v>
      </c>
      <c r="C476" t="s">
        <v>167</v>
      </c>
      <c r="D476" t="s">
        <v>168</v>
      </c>
      <c r="E476" t="s">
        <v>93</v>
      </c>
      <c r="F476" t="s">
        <v>597</v>
      </c>
      <c r="G476" s="78" t="s">
        <v>874</v>
      </c>
      <c r="H476" s="140" t="s">
        <v>876</v>
      </c>
      <c r="I476" s="140"/>
    </row>
    <row r="477" spans="1:9" x14ac:dyDescent="0.25">
      <c r="A477">
        <v>3039</v>
      </c>
      <c r="B477" t="s">
        <v>597</v>
      </c>
      <c r="C477" t="s">
        <v>66</v>
      </c>
      <c r="D477" t="s">
        <v>168</v>
      </c>
      <c r="E477" t="s">
        <v>93</v>
      </c>
      <c r="F477" t="s">
        <v>597</v>
      </c>
      <c r="G477" s="78" t="s">
        <v>872</v>
      </c>
      <c r="H477" s="140">
        <v>-4.7510512463806477E-3</v>
      </c>
      <c r="I477" s="140">
        <v>-4.6499999999999996E-3</v>
      </c>
    </row>
    <row r="478" spans="1:9" x14ac:dyDescent="0.25">
      <c r="A478">
        <v>203</v>
      </c>
      <c r="B478" t="s">
        <v>598</v>
      </c>
      <c r="C478" t="s">
        <v>167</v>
      </c>
      <c r="D478" t="s">
        <v>168</v>
      </c>
      <c r="E478" t="s">
        <v>93</v>
      </c>
      <c r="F478" t="s">
        <v>597</v>
      </c>
      <c r="G478" s="78" t="s">
        <v>872</v>
      </c>
      <c r="H478" s="140">
        <v>-8.0000000000000002E-3</v>
      </c>
      <c r="I478" s="140">
        <v>-1.12E-2</v>
      </c>
    </row>
    <row r="479" spans="1:9" x14ac:dyDescent="0.25">
      <c r="A479">
        <v>216</v>
      </c>
      <c r="B479" t="s">
        <v>602</v>
      </c>
      <c r="C479" t="s">
        <v>167</v>
      </c>
      <c r="D479" t="s">
        <v>168</v>
      </c>
      <c r="E479" t="s">
        <v>93</v>
      </c>
      <c r="F479" t="s">
        <v>597</v>
      </c>
      <c r="G479" s="78" t="s">
        <v>875</v>
      </c>
      <c r="H479" s="140">
        <v>-3.3E-3</v>
      </c>
      <c r="I479" s="140">
        <v>-6.6E-3</v>
      </c>
    </row>
    <row r="480" spans="1:9" x14ac:dyDescent="0.25">
      <c r="A480">
        <v>471</v>
      </c>
      <c r="B480" t="s">
        <v>597</v>
      </c>
      <c r="C480" t="s">
        <v>167</v>
      </c>
      <c r="D480" t="s">
        <v>168</v>
      </c>
      <c r="E480" t="s">
        <v>93</v>
      </c>
      <c r="F480" t="s">
        <v>597</v>
      </c>
      <c r="G480" s="78" t="s">
        <v>873</v>
      </c>
      <c r="H480" s="140">
        <v>-6.8751447533550889E-3</v>
      </c>
      <c r="I480" s="140">
        <v>-7.2007424437950376E-3</v>
      </c>
    </row>
    <row r="481" spans="1:9" s="31" customFormat="1" x14ac:dyDescent="0.25">
      <c r="A481" s="31">
        <v>200</v>
      </c>
      <c r="B481" s="31" t="s">
        <v>596</v>
      </c>
      <c r="C481" s="31" t="s">
        <v>167</v>
      </c>
      <c r="D481" s="31" t="s">
        <v>168</v>
      </c>
      <c r="E481" s="31" t="s">
        <v>93</v>
      </c>
      <c r="F481" s="31" t="s">
        <v>597</v>
      </c>
      <c r="G481" s="78" t="s">
        <v>875</v>
      </c>
      <c r="H481" s="140">
        <v>-4.7000000000000002E-3</v>
      </c>
      <c r="I481" s="140">
        <v>-8.3999999999999995E-3</v>
      </c>
    </row>
    <row r="482" spans="1:9" x14ac:dyDescent="0.25">
      <c r="A482">
        <v>213</v>
      </c>
      <c r="B482" t="s">
        <v>599</v>
      </c>
      <c r="C482" t="s">
        <v>167</v>
      </c>
      <c r="D482" t="s">
        <v>168</v>
      </c>
      <c r="E482" t="s">
        <v>93</v>
      </c>
      <c r="F482" t="s">
        <v>597</v>
      </c>
      <c r="G482" s="78" t="s">
        <v>872</v>
      </c>
      <c r="H482" s="140">
        <v>-7.2402938052418186E-3</v>
      </c>
      <c r="I482" s="140">
        <v>-6.7595224334649822E-3</v>
      </c>
    </row>
    <row r="483" spans="1:9" x14ac:dyDescent="0.25">
      <c r="A483">
        <v>214</v>
      </c>
      <c r="B483" t="s">
        <v>600</v>
      </c>
      <c r="C483" t="s">
        <v>167</v>
      </c>
      <c r="D483" t="s">
        <v>168</v>
      </c>
      <c r="E483" s="31" t="s">
        <v>93</v>
      </c>
      <c r="F483" t="s">
        <v>597</v>
      </c>
      <c r="G483" s="78" t="s">
        <v>872</v>
      </c>
      <c r="H483" s="140">
        <v>-1.0999999999999999E-2</v>
      </c>
      <c r="I483" s="140">
        <v>-9.4000000000000004E-3</v>
      </c>
    </row>
    <row r="484" spans="1:9" x14ac:dyDescent="0.25">
      <c r="A484">
        <v>218</v>
      </c>
      <c r="B484" t="s">
        <v>603</v>
      </c>
      <c r="C484" t="s">
        <v>167</v>
      </c>
      <c r="D484" t="s">
        <v>168</v>
      </c>
      <c r="E484" t="s">
        <v>93</v>
      </c>
      <c r="F484" t="s">
        <v>597</v>
      </c>
      <c r="G484" s="78" t="s">
        <v>875</v>
      </c>
      <c r="H484" s="140">
        <v>-4.1000000000000003E-3</v>
      </c>
      <c r="I484" s="140">
        <v>-4.4999999999999997E-3</v>
      </c>
    </row>
    <row r="485" spans="1:9" x14ac:dyDescent="0.25">
      <c r="A485">
        <v>691</v>
      </c>
      <c r="B485" t="s">
        <v>604</v>
      </c>
      <c r="C485" t="s">
        <v>167</v>
      </c>
      <c r="D485" t="s">
        <v>168</v>
      </c>
      <c r="E485" t="s">
        <v>93</v>
      </c>
      <c r="F485" t="s">
        <v>597</v>
      </c>
      <c r="G485" s="78" t="s">
        <v>872</v>
      </c>
      <c r="H485" s="140">
        <v>-8.2000000000000007E-3</v>
      </c>
      <c r="I485" s="140">
        <v>-7.1999999999999998E-3</v>
      </c>
    </row>
    <row r="486" spans="1:9" x14ac:dyDescent="0.25">
      <c r="A486">
        <v>1067</v>
      </c>
      <c r="B486" t="s">
        <v>611</v>
      </c>
      <c r="C486" t="s">
        <v>167</v>
      </c>
      <c r="D486" t="s">
        <v>168</v>
      </c>
      <c r="E486" t="s">
        <v>93</v>
      </c>
      <c r="F486" t="s">
        <v>607</v>
      </c>
      <c r="G486" s="78" t="s">
        <v>872</v>
      </c>
      <c r="H486" s="140">
        <v>-6.1000000000000004E-3</v>
      </c>
      <c r="I486" s="140">
        <v>-3.8999999999999998E-3</v>
      </c>
    </row>
    <row r="487" spans="1:9" x14ac:dyDescent="0.25">
      <c r="A487">
        <v>644</v>
      </c>
      <c r="B487" t="s">
        <v>634</v>
      </c>
      <c r="C487" t="s">
        <v>167</v>
      </c>
      <c r="D487" t="s">
        <v>168</v>
      </c>
      <c r="E487" t="s">
        <v>93</v>
      </c>
      <c r="F487" t="s">
        <v>607</v>
      </c>
      <c r="G487" s="78" t="s">
        <v>875</v>
      </c>
      <c r="H487" s="140">
        <v>-1.6000000000000001E-3</v>
      </c>
      <c r="I487" s="140">
        <v>-6.8999999999999999E-3</v>
      </c>
    </row>
    <row r="488" spans="1:9" x14ac:dyDescent="0.25">
      <c r="A488">
        <v>1106</v>
      </c>
      <c r="B488" t="s">
        <v>612</v>
      </c>
      <c r="C488" t="s">
        <v>167</v>
      </c>
      <c r="D488" t="s">
        <v>168</v>
      </c>
      <c r="E488" t="s">
        <v>93</v>
      </c>
      <c r="F488" t="s">
        <v>607</v>
      </c>
      <c r="G488" s="78" t="s">
        <v>872</v>
      </c>
      <c r="H488" s="140">
        <v>-8.6E-3</v>
      </c>
      <c r="I488" s="140">
        <v>-8.3999999999999995E-3</v>
      </c>
    </row>
    <row r="489" spans="1:9" x14ac:dyDescent="0.25">
      <c r="A489">
        <v>1139</v>
      </c>
      <c r="B489" t="s">
        <v>613</v>
      </c>
      <c r="C489" t="s">
        <v>167</v>
      </c>
      <c r="D489" t="s">
        <v>168</v>
      </c>
      <c r="E489" t="s">
        <v>93</v>
      </c>
      <c r="F489" t="s">
        <v>607</v>
      </c>
      <c r="G489" s="78" t="s">
        <v>875</v>
      </c>
      <c r="H489" s="140">
        <v>-7.7999999999999996E-3</v>
      </c>
      <c r="I489" s="140">
        <v>-8.3999999999999995E-3</v>
      </c>
    </row>
    <row r="490" spans="1:9" x14ac:dyDescent="0.25">
      <c r="A490">
        <v>1144</v>
      </c>
      <c r="B490" t="s">
        <v>614</v>
      </c>
      <c r="C490" t="s">
        <v>167</v>
      </c>
      <c r="D490" t="s">
        <v>168</v>
      </c>
      <c r="E490" t="s">
        <v>93</v>
      </c>
      <c r="F490" t="s">
        <v>607</v>
      </c>
      <c r="G490" s="78" t="s">
        <v>875</v>
      </c>
      <c r="H490" s="140">
        <v>-6.3E-3</v>
      </c>
      <c r="I490" s="140">
        <v>-8.3999999999999995E-3</v>
      </c>
    </row>
    <row r="491" spans="1:9" x14ac:dyDescent="0.25">
      <c r="A491">
        <v>1200</v>
      </c>
      <c r="B491" t="s">
        <v>852</v>
      </c>
      <c r="C491" t="s">
        <v>167</v>
      </c>
      <c r="D491" t="s">
        <v>168</v>
      </c>
      <c r="E491" t="s">
        <v>93</v>
      </c>
      <c r="F491" t="s">
        <v>607</v>
      </c>
      <c r="G491" s="78" t="s">
        <v>874</v>
      </c>
      <c r="H491" s="140" t="s">
        <v>876</v>
      </c>
      <c r="I491" s="140">
        <v>-8.6E-3</v>
      </c>
    </row>
    <row r="492" spans="1:9" x14ac:dyDescent="0.25">
      <c r="A492">
        <v>202</v>
      </c>
      <c r="B492" t="s">
        <v>608</v>
      </c>
      <c r="C492" t="s">
        <v>167</v>
      </c>
      <c r="D492" t="s">
        <v>168</v>
      </c>
      <c r="E492" t="s">
        <v>93</v>
      </c>
      <c r="F492" t="s">
        <v>607</v>
      </c>
      <c r="G492" s="78" t="s">
        <v>872</v>
      </c>
      <c r="H492" s="140">
        <v>-9.1999999999999998E-3</v>
      </c>
      <c r="I492" s="140">
        <v>-9.1000000000000004E-3</v>
      </c>
    </row>
    <row r="493" spans="1:9" x14ac:dyDescent="0.25">
      <c r="A493">
        <v>191</v>
      </c>
      <c r="B493" t="s">
        <v>606</v>
      </c>
      <c r="C493" t="s">
        <v>167</v>
      </c>
      <c r="D493" t="s">
        <v>168</v>
      </c>
      <c r="E493" t="s">
        <v>93</v>
      </c>
      <c r="F493" t="s">
        <v>607</v>
      </c>
      <c r="G493" s="78" t="s">
        <v>872</v>
      </c>
      <c r="H493" s="140">
        <v>-8.6E-3</v>
      </c>
      <c r="I493" s="140">
        <v>-5.4000000000000003E-3</v>
      </c>
    </row>
    <row r="494" spans="1:9" x14ac:dyDescent="0.25">
      <c r="A494">
        <v>221</v>
      </c>
      <c r="B494" t="s">
        <v>564</v>
      </c>
      <c r="C494" t="s">
        <v>167</v>
      </c>
      <c r="D494" t="s">
        <v>168</v>
      </c>
      <c r="E494" t="s">
        <v>93</v>
      </c>
      <c r="F494" t="s">
        <v>607</v>
      </c>
      <c r="G494" s="78" t="s">
        <v>872</v>
      </c>
      <c r="H494" s="140">
        <v>-6.8450153755742161E-3</v>
      </c>
      <c r="I494" s="140">
        <v>-6.4845848991075435E-3</v>
      </c>
    </row>
    <row r="495" spans="1:9" x14ac:dyDescent="0.25">
      <c r="A495">
        <v>309</v>
      </c>
      <c r="B495" t="s">
        <v>609</v>
      </c>
      <c r="C495" t="s">
        <v>167</v>
      </c>
      <c r="D495" t="s">
        <v>168</v>
      </c>
      <c r="E495" t="s">
        <v>93</v>
      </c>
      <c r="F495" t="s">
        <v>607</v>
      </c>
      <c r="G495" s="78" t="s">
        <v>872</v>
      </c>
      <c r="H495" s="140">
        <v>-6.8946786437483806E-3</v>
      </c>
      <c r="I495" s="140">
        <v>-6.3583455692057854E-3</v>
      </c>
    </row>
    <row r="496" spans="1:9" x14ac:dyDescent="0.25">
      <c r="A496">
        <v>324</v>
      </c>
      <c r="B496" t="s">
        <v>610</v>
      </c>
      <c r="C496" t="s">
        <v>167</v>
      </c>
      <c r="D496" t="s">
        <v>168</v>
      </c>
      <c r="E496" t="s">
        <v>93</v>
      </c>
      <c r="F496" t="s">
        <v>607</v>
      </c>
      <c r="G496" s="78" t="s">
        <v>872</v>
      </c>
      <c r="H496" s="140">
        <v>-7.0800785104446857E-3</v>
      </c>
      <c r="I496" s="140">
        <v>-6.6776596428732146E-3</v>
      </c>
    </row>
    <row r="497" spans="1:9" x14ac:dyDescent="0.25">
      <c r="A497">
        <v>3096</v>
      </c>
      <c r="B497" t="s">
        <v>627</v>
      </c>
      <c r="C497" t="s">
        <v>66</v>
      </c>
      <c r="D497" t="s">
        <v>168</v>
      </c>
      <c r="E497" t="s">
        <v>93</v>
      </c>
      <c r="F497" t="s">
        <v>616</v>
      </c>
      <c r="G497" s="78" t="s">
        <v>875</v>
      </c>
      <c r="H497" s="140">
        <v>-1.9095491285934644E-3</v>
      </c>
      <c r="I497" s="140">
        <v>-3.4500000000000004E-3</v>
      </c>
    </row>
    <row r="498" spans="1:9" x14ac:dyDescent="0.25">
      <c r="A498">
        <v>1037</v>
      </c>
      <c r="B498" t="s">
        <v>623</v>
      </c>
      <c r="C498" t="s">
        <v>167</v>
      </c>
      <c r="D498" t="s">
        <v>168</v>
      </c>
      <c r="E498" t="s">
        <v>93</v>
      </c>
      <c r="F498" t="s">
        <v>616</v>
      </c>
      <c r="G498" s="78" t="s">
        <v>874</v>
      </c>
      <c r="H498" s="140">
        <v>-9.7437296330740112E-3</v>
      </c>
      <c r="I498" s="140">
        <v>-9.7437296330740112E-3</v>
      </c>
    </row>
    <row r="499" spans="1:9" x14ac:dyDescent="0.25">
      <c r="A499">
        <v>1130</v>
      </c>
      <c r="B499" t="s">
        <v>624</v>
      </c>
      <c r="C499" t="s">
        <v>167</v>
      </c>
      <c r="D499" t="s">
        <v>168</v>
      </c>
      <c r="E499" t="s">
        <v>93</v>
      </c>
      <c r="F499" t="s">
        <v>616</v>
      </c>
      <c r="G499" s="78" t="s">
        <v>874</v>
      </c>
      <c r="H499" s="140">
        <v>-8.1099660077502377E-3</v>
      </c>
      <c r="I499" s="140">
        <v>-8.1099660077502359E-3</v>
      </c>
    </row>
    <row r="500" spans="1:9" x14ac:dyDescent="0.25">
      <c r="A500">
        <v>1145</v>
      </c>
      <c r="B500" t="s">
        <v>625</v>
      </c>
      <c r="C500" t="s">
        <v>167</v>
      </c>
      <c r="D500" t="s">
        <v>168</v>
      </c>
      <c r="E500" t="s">
        <v>93</v>
      </c>
      <c r="F500" t="s">
        <v>616</v>
      </c>
      <c r="G500" s="78" t="s">
        <v>874</v>
      </c>
      <c r="H500" s="140">
        <v>-3.9966836540979728E-3</v>
      </c>
      <c r="I500" s="140">
        <v>-4.4999999999999997E-3</v>
      </c>
    </row>
    <row r="501" spans="1:9" x14ac:dyDescent="0.25">
      <c r="A501">
        <v>1186</v>
      </c>
      <c r="B501" t="s">
        <v>626</v>
      </c>
      <c r="C501" t="s">
        <v>167</v>
      </c>
      <c r="D501" t="s">
        <v>168</v>
      </c>
      <c r="E501" t="s">
        <v>93</v>
      </c>
      <c r="F501" t="s">
        <v>616</v>
      </c>
      <c r="G501" s="78" t="s">
        <v>874</v>
      </c>
      <c r="H501" s="140">
        <v>0</v>
      </c>
      <c r="I501" s="140">
        <v>-8.6E-3</v>
      </c>
    </row>
    <row r="502" spans="1:9" x14ac:dyDescent="0.25">
      <c r="A502">
        <v>287</v>
      </c>
      <c r="B502" t="s">
        <v>615</v>
      </c>
      <c r="C502" t="s">
        <v>167</v>
      </c>
      <c r="D502" t="s">
        <v>168</v>
      </c>
      <c r="E502" t="s">
        <v>93</v>
      </c>
      <c r="F502" t="s">
        <v>616</v>
      </c>
      <c r="G502" s="78" t="s">
        <v>872</v>
      </c>
      <c r="H502" s="140">
        <v>-7.3000000000000001E-3</v>
      </c>
      <c r="I502" s="140">
        <v>-9.2999999999999992E-3</v>
      </c>
    </row>
    <row r="503" spans="1:9" x14ac:dyDescent="0.25">
      <c r="A503">
        <v>334</v>
      </c>
      <c r="B503" t="s">
        <v>619</v>
      </c>
      <c r="C503" t="s">
        <v>167</v>
      </c>
      <c r="D503" t="s">
        <v>168</v>
      </c>
      <c r="E503" t="s">
        <v>93</v>
      </c>
      <c r="F503" t="s">
        <v>616</v>
      </c>
      <c r="G503" s="78" t="s">
        <v>873</v>
      </c>
      <c r="H503" s="140">
        <v>-9.0099186354929989E-3</v>
      </c>
      <c r="I503" s="140">
        <v>-9.1638737774932966E-3</v>
      </c>
    </row>
    <row r="504" spans="1:9" x14ac:dyDescent="0.25">
      <c r="A504">
        <v>698</v>
      </c>
      <c r="B504" t="s">
        <v>621</v>
      </c>
      <c r="C504" t="s">
        <v>167</v>
      </c>
      <c r="D504" t="s">
        <v>168</v>
      </c>
      <c r="E504" t="s">
        <v>93</v>
      </c>
      <c r="F504" t="s">
        <v>616</v>
      </c>
      <c r="G504" s="78" t="s">
        <v>875</v>
      </c>
      <c r="H504" s="140">
        <v>-5.1000000000000004E-3</v>
      </c>
      <c r="I504" s="140">
        <v>-1.14E-2</v>
      </c>
    </row>
    <row r="505" spans="1:9" x14ac:dyDescent="0.25">
      <c r="A505">
        <v>288</v>
      </c>
      <c r="B505" t="s">
        <v>617</v>
      </c>
      <c r="C505" t="s">
        <v>167</v>
      </c>
      <c r="D505" t="s">
        <v>168</v>
      </c>
      <c r="E505" t="s">
        <v>93</v>
      </c>
      <c r="F505" t="s">
        <v>616</v>
      </c>
      <c r="G505" s="78" t="s">
        <v>872</v>
      </c>
      <c r="H505" s="140">
        <v>-1.0627449181539626E-2</v>
      </c>
      <c r="I505" s="140">
        <v>-1.0196785511230419E-2</v>
      </c>
    </row>
    <row r="506" spans="1:9" x14ac:dyDescent="0.25">
      <c r="A506">
        <v>316</v>
      </c>
      <c r="B506" t="s">
        <v>618</v>
      </c>
      <c r="C506" t="s">
        <v>167</v>
      </c>
      <c r="D506" t="s">
        <v>168</v>
      </c>
      <c r="E506" t="s">
        <v>93</v>
      </c>
      <c r="F506" t="s">
        <v>616</v>
      </c>
      <c r="G506" s="78" t="s">
        <v>872</v>
      </c>
      <c r="H506" s="140">
        <v>-1.32E-2</v>
      </c>
      <c r="I506" s="140">
        <v>-5.5999999999999999E-3</v>
      </c>
    </row>
    <row r="507" spans="1:9" x14ac:dyDescent="0.25">
      <c r="A507">
        <v>637</v>
      </c>
      <c r="B507" t="s">
        <v>620</v>
      </c>
      <c r="C507" t="s">
        <v>167</v>
      </c>
      <c r="D507" t="s">
        <v>168</v>
      </c>
      <c r="E507" t="s">
        <v>93</v>
      </c>
      <c r="F507" t="s">
        <v>616</v>
      </c>
      <c r="G507" s="78" t="s">
        <v>872</v>
      </c>
      <c r="H507" s="140">
        <v>-8.3555760903459755E-3</v>
      </c>
      <c r="I507" s="140">
        <v>-7.9496987731135765E-3</v>
      </c>
    </row>
    <row r="508" spans="1:9" x14ac:dyDescent="0.25">
      <c r="A508">
        <v>706</v>
      </c>
      <c r="B508" t="s">
        <v>622</v>
      </c>
      <c r="C508" t="s">
        <v>167</v>
      </c>
      <c r="D508" t="s">
        <v>168</v>
      </c>
      <c r="E508" t="s">
        <v>93</v>
      </c>
      <c r="F508" t="s">
        <v>616</v>
      </c>
      <c r="G508" s="78" t="s">
        <v>872</v>
      </c>
      <c r="H508" s="140">
        <v>-9.0328583760445041E-3</v>
      </c>
      <c r="I508" s="140">
        <v>-8.5000000000000006E-3</v>
      </c>
    </row>
    <row r="509" spans="1:9" s="31" customFormat="1" x14ac:dyDescent="0.25">
      <c r="A509" s="31">
        <v>1120</v>
      </c>
      <c r="B509" s="31" t="s">
        <v>853</v>
      </c>
      <c r="C509" s="31" t="s">
        <v>167</v>
      </c>
      <c r="D509" s="31" t="s">
        <v>168</v>
      </c>
      <c r="E509" s="31" t="s">
        <v>93</v>
      </c>
      <c r="F509" s="31" t="s">
        <v>628</v>
      </c>
      <c r="G509" s="78" t="s">
        <v>874</v>
      </c>
      <c r="H509" s="140" t="s">
        <v>876</v>
      </c>
      <c r="I509" s="140">
        <v>-8.6E-3</v>
      </c>
    </row>
    <row r="510" spans="1:9" x14ac:dyDescent="0.25">
      <c r="A510">
        <v>1179</v>
      </c>
      <c r="B510" t="s">
        <v>897</v>
      </c>
      <c r="C510" t="s">
        <v>167</v>
      </c>
      <c r="D510" t="s">
        <v>168</v>
      </c>
      <c r="E510" t="s">
        <v>93</v>
      </c>
      <c r="F510" t="s">
        <v>628</v>
      </c>
      <c r="G510" s="78" t="s">
        <v>872</v>
      </c>
      <c r="H510" s="140">
        <v>-1.09E-2</v>
      </c>
      <c r="I510" s="140">
        <v>-8.3999999999999995E-3</v>
      </c>
    </row>
    <row r="511" spans="1:9" x14ac:dyDescent="0.25">
      <c r="A511">
        <v>235</v>
      </c>
      <c r="B511" t="s">
        <v>609</v>
      </c>
      <c r="C511" t="s">
        <v>167</v>
      </c>
      <c r="D511" t="s">
        <v>168</v>
      </c>
      <c r="E511" t="s">
        <v>93</v>
      </c>
      <c r="F511" t="s">
        <v>628</v>
      </c>
      <c r="G511" s="78" t="s">
        <v>872</v>
      </c>
      <c r="H511" s="140">
        <v>-7.4000000000000003E-3</v>
      </c>
      <c r="I511" s="140">
        <v>-8.6E-3</v>
      </c>
    </row>
    <row r="512" spans="1:9" x14ac:dyDescent="0.25">
      <c r="A512">
        <v>264</v>
      </c>
      <c r="B512" t="s">
        <v>630</v>
      </c>
      <c r="C512" t="s">
        <v>167</v>
      </c>
      <c r="D512" t="s">
        <v>168</v>
      </c>
      <c r="E512" t="s">
        <v>93</v>
      </c>
      <c r="F512" t="s">
        <v>628</v>
      </c>
      <c r="G512" s="78" t="s">
        <v>875</v>
      </c>
      <c r="H512" s="140">
        <v>-6.4000000000000003E-3</v>
      </c>
      <c r="I512" s="140">
        <v>-1.14E-2</v>
      </c>
    </row>
    <row r="513" spans="1:9" x14ac:dyDescent="0.25">
      <c r="A513">
        <v>373</v>
      </c>
      <c r="B513" t="s">
        <v>631</v>
      </c>
      <c r="C513" t="s">
        <v>167</v>
      </c>
      <c r="D513" t="s">
        <v>168</v>
      </c>
      <c r="E513" t="s">
        <v>93</v>
      </c>
      <c r="F513" t="s">
        <v>628</v>
      </c>
      <c r="G513" s="78" t="s">
        <v>873</v>
      </c>
      <c r="H513" s="140">
        <v>-1.1520950154701145E-2</v>
      </c>
      <c r="I513" s="140">
        <v>-1.0591923778331175E-2</v>
      </c>
    </row>
    <row r="514" spans="1:9" x14ac:dyDescent="0.25">
      <c r="A514">
        <v>682</v>
      </c>
      <c r="B514" t="s">
        <v>635</v>
      </c>
      <c r="C514" t="s">
        <v>167</v>
      </c>
      <c r="D514" t="s">
        <v>168</v>
      </c>
      <c r="E514" t="s">
        <v>93</v>
      </c>
      <c r="F514" t="s">
        <v>628</v>
      </c>
      <c r="G514" s="78" t="s">
        <v>873</v>
      </c>
      <c r="H514" s="140">
        <v>-9.6856914959392946E-3</v>
      </c>
      <c r="I514" s="140">
        <v>-9.3941449008593959E-3</v>
      </c>
    </row>
    <row r="515" spans="1:9" x14ac:dyDescent="0.25">
      <c r="A515">
        <v>263</v>
      </c>
      <c r="B515" t="s">
        <v>629</v>
      </c>
      <c r="C515" t="s">
        <v>167</v>
      </c>
      <c r="D515" t="s">
        <v>168</v>
      </c>
      <c r="E515" t="s">
        <v>93</v>
      </c>
      <c r="F515" t="s">
        <v>628</v>
      </c>
      <c r="G515" s="78" t="s">
        <v>872</v>
      </c>
      <c r="H515" s="140">
        <v>-1.0783778331022601E-2</v>
      </c>
      <c r="I515" s="140">
        <v>-1.0625216396753403E-2</v>
      </c>
    </row>
    <row r="516" spans="1:9" x14ac:dyDescent="0.25">
      <c r="A516">
        <v>390</v>
      </c>
      <c r="B516" t="s">
        <v>632</v>
      </c>
      <c r="C516" t="s">
        <v>167</v>
      </c>
      <c r="D516" t="s">
        <v>168</v>
      </c>
      <c r="E516" t="s">
        <v>93</v>
      </c>
      <c r="F516" t="s">
        <v>628</v>
      </c>
      <c r="G516" s="78" t="s">
        <v>875</v>
      </c>
      <c r="H516" s="140">
        <v>-6.0000000000000001E-3</v>
      </c>
      <c r="I516" s="140">
        <v>-7.7000000000000002E-3</v>
      </c>
    </row>
    <row r="517" spans="1:9" x14ac:dyDescent="0.25">
      <c r="A517">
        <v>631</v>
      </c>
      <c r="B517" t="s">
        <v>633</v>
      </c>
      <c r="C517" t="s">
        <v>167</v>
      </c>
      <c r="D517" t="s">
        <v>168</v>
      </c>
      <c r="E517" t="s">
        <v>93</v>
      </c>
      <c r="F517" t="s">
        <v>628</v>
      </c>
      <c r="G517" s="78" t="s">
        <v>875</v>
      </c>
      <c r="H517" s="140">
        <v>-6.8999999999999999E-3</v>
      </c>
      <c r="I517" s="140">
        <v>-7.1000000000000004E-3</v>
      </c>
    </row>
    <row r="518" spans="1:9" x14ac:dyDescent="0.25">
      <c r="A518">
        <v>1041</v>
      </c>
      <c r="B518" t="s">
        <v>636</v>
      </c>
      <c r="C518" t="s">
        <v>167</v>
      </c>
      <c r="D518" t="s">
        <v>168</v>
      </c>
      <c r="E518" t="s">
        <v>93</v>
      </c>
      <c r="F518" t="s">
        <v>628</v>
      </c>
      <c r="G518" s="78" t="s">
        <v>872</v>
      </c>
      <c r="H518" s="140">
        <v>-7.1575720176763049E-3</v>
      </c>
      <c r="I518" s="140">
        <v>-7.2452990169873457E-3</v>
      </c>
    </row>
    <row r="519" spans="1:9" x14ac:dyDescent="0.25">
      <c r="A519">
        <v>3074</v>
      </c>
      <c r="B519" t="s">
        <v>645</v>
      </c>
      <c r="C519" t="s">
        <v>66</v>
      </c>
      <c r="D519" t="s">
        <v>168</v>
      </c>
      <c r="E519" t="s">
        <v>93</v>
      </c>
      <c r="F519" t="s">
        <v>638</v>
      </c>
      <c r="G519" s="78" t="s">
        <v>875</v>
      </c>
      <c r="H519" s="140">
        <v>-2.7082921292125761E-3</v>
      </c>
      <c r="I519" s="140">
        <v>-3.4500000000000004E-3</v>
      </c>
    </row>
    <row r="520" spans="1:9" x14ac:dyDescent="0.25">
      <c r="A520">
        <v>3093</v>
      </c>
      <c r="B520" t="s">
        <v>639</v>
      </c>
      <c r="C520" t="s">
        <v>66</v>
      </c>
      <c r="D520" t="s">
        <v>168</v>
      </c>
      <c r="E520" t="s">
        <v>93</v>
      </c>
      <c r="F520" t="s">
        <v>638</v>
      </c>
      <c r="G520" s="78" t="s">
        <v>873</v>
      </c>
      <c r="H520" s="140">
        <v>-1.72E-2</v>
      </c>
      <c r="I520" s="140">
        <v>-1.2999999999999999E-2</v>
      </c>
    </row>
    <row r="521" spans="1:9" x14ac:dyDescent="0.25">
      <c r="A521">
        <v>748</v>
      </c>
      <c r="B521" t="s">
        <v>642</v>
      </c>
      <c r="C521" t="s">
        <v>167</v>
      </c>
      <c r="D521" t="s">
        <v>168</v>
      </c>
      <c r="E521" t="s">
        <v>93</v>
      </c>
      <c r="F521" t="s">
        <v>638</v>
      </c>
      <c r="G521" s="78" t="s">
        <v>875</v>
      </c>
      <c r="H521" s="140">
        <v>-9.8473388440935578E-3</v>
      </c>
      <c r="I521" s="140">
        <v>-9.1999999999999998E-3</v>
      </c>
    </row>
    <row r="522" spans="1:9" x14ac:dyDescent="0.25">
      <c r="A522">
        <v>1084</v>
      </c>
      <c r="B522" t="s">
        <v>645</v>
      </c>
      <c r="C522" t="s">
        <v>167</v>
      </c>
      <c r="D522" t="s">
        <v>168</v>
      </c>
      <c r="E522" t="s">
        <v>93</v>
      </c>
      <c r="F522" t="s">
        <v>638</v>
      </c>
      <c r="G522" s="78" t="s">
        <v>874</v>
      </c>
      <c r="H522" s="140">
        <v>-1.6180915379481287E-2</v>
      </c>
      <c r="I522" s="140">
        <v>-1.4E-2</v>
      </c>
    </row>
    <row r="523" spans="1:9" x14ac:dyDescent="0.25">
      <c r="A523">
        <v>1121</v>
      </c>
      <c r="B523" t="s">
        <v>646</v>
      </c>
      <c r="C523" t="s">
        <v>167</v>
      </c>
      <c r="D523" t="s">
        <v>168</v>
      </c>
      <c r="E523" t="s">
        <v>93</v>
      </c>
      <c r="F523" t="s">
        <v>638</v>
      </c>
      <c r="G523" s="78" t="s">
        <v>874</v>
      </c>
      <c r="H523" s="140">
        <v>-1.2206485175814406E-2</v>
      </c>
      <c r="I523" s="140">
        <v>-1.2206485175814408E-2</v>
      </c>
    </row>
    <row r="524" spans="1:9" x14ac:dyDescent="0.25">
      <c r="A524">
        <v>1168</v>
      </c>
      <c r="B524" t="s">
        <v>647</v>
      </c>
      <c r="C524" t="s">
        <v>167</v>
      </c>
      <c r="D524" t="s">
        <v>168</v>
      </c>
      <c r="E524" t="s">
        <v>93</v>
      </c>
      <c r="F524" t="s">
        <v>638</v>
      </c>
      <c r="G524" s="78" t="s">
        <v>875</v>
      </c>
      <c r="H524" s="140">
        <v>-3.7000000000000002E-3</v>
      </c>
      <c r="I524" s="140">
        <v>-8.3999999999999995E-3</v>
      </c>
    </row>
    <row r="525" spans="1:9" x14ac:dyDescent="0.25">
      <c r="A525">
        <v>668</v>
      </c>
      <c r="B525" t="s">
        <v>637</v>
      </c>
      <c r="C525" t="s">
        <v>167</v>
      </c>
      <c r="D525" t="s">
        <v>168</v>
      </c>
      <c r="E525" t="s">
        <v>93</v>
      </c>
      <c r="F525" t="s">
        <v>638</v>
      </c>
      <c r="G525" s="78" t="s">
        <v>873</v>
      </c>
      <c r="H525" s="140">
        <v>-1.0642155915300171E-2</v>
      </c>
      <c r="I525" s="140">
        <v>-9.6928735703532068E-3</v>
      </c>
    </row>
    <row r="526" spans="1:9" x14ac:dyDescent="0.25">
      <c r="A526">
        <v>669</v>
      </c>
      <c r="B526" t="s">
        <v>639</v>
      </c>
      <c r="C526" t="s">
        <v>167</v>
      </c>
      <c r="D526" t="s">
        <v>168</v>
      </c>
      <c r="E526" t="s">
        <v>93</v>
      </c>
      <c r="F526" t="s">
        <v>638</v>
      </c>
      <c r="G526" s="78" t="s">
        <v>873</v>
      </c>
      <c r="H526" s="140">
        <v>-2.2415847063525809E-2</v>
      </c>
      <c r="I526" s="140">
        <v>-1.4500000000000001E-2</v>
      </c>
    </row>
    <row r="527" spans="1:9" x14ac:dyDescent="0.25">
      <c r="A527">
        <v>684</v>
      </c>
      <c r="B527" t="s">
        <v>640</v>
      </c>
      <c r="C527" t="s">
        <v>167</v>
      </c>
      <c r="D527" t="s">
        <v>168</v>
      </c>
      <c r="E527" t="s">
        <v>93</v>
      </c>
      <c r="F527" t="s">
        <v>638</v>
      </c>
      <c r="G527" s="78" t="s">
        <v>872</v>
      </c>
      <c r="H527" s="140">
        <v>-1.0200000000000001E-2</v>
      </c>
      <c r="I527" s="140">
        <v>-1.2999999999999999E-2</v>
      </c>
    </row>
    <row r="528" spans="1:9" x14ac:dyDescent="0.25">
      <c r="A528">
        <v>1074</v>
      </c>
      <c r="B528" t="s">
        <v>644</v>
      </c>
      <c r="C528" t="s">
        <v>167</v>
      </c>
      <c r="D528" t="s">
        <v>168</v>
      </c>
      <c r="E528" t="s">
        <v>93</v>
      </c>
      <c r="F528" t="s">
        <v>638</v>
      </c>
      <c r="G528" s="78" t="s">
        <v>873</v>
      </c>
      <c r="H528" s="140">
        <v>-1.6127233482126257E-2</v>
      </c>
      <c r="I528" s="140">
        <v>-1.4E-2</v>
      </c>
    </row>
    <row r="529" spans="1:9" x14ac:dyDescent="0.25">
      <c r="A529">
        <v>739</v>
      </c>
      <c r="B529" t="s">
        <v>641</v>
      </c>
      <c r="C529" t="s">
        <v>167</v>
      </c>
      <c r="D529" t="s">
        <v>168</v>
      </c>
      <c r="E529" t="s">
        <v>93</v>
      </c>
      <c r="F529" t="s">
        <v>638</v>
      </c>
      <c r="G529" s="78" t="s">
        <v>875</v>
      </c>
      <c r="H529" s="140">
        <v>-6.7999999999999996E-3</v>
      </c>
      <c r="I529" s="140">
        <v>-6.8999999999999999E-3</v>
      </c>
    </row>
    <row r="530" spans="1:9" x14ac:dyDescent="0.25">
      <c r="A530">
        <v>1019</v>
      </c>
      <c r="B530" t="s">
        <v>643</v>
      </c>
      <c r="C530" t="s">
        <v>167</v>
      </c>
      <c r="D530" t="s">
        <v>168</v>
      </c>
      <c r="E530" t="s">
        <v>93</v>
      </c>
      <c r="F530" t="s">
        <v>638</v>
      </c>
      <c r="G530" s="78" t="s">
        <v>872</v>
      </c>
      <c r="H530" s="140">
        <v>-9.8767772976114457E-3</v>
      </c>
      <c r="I530" s="140">
        <v>-9.8248814600899407E-3</v>
      </c>
    </row>
    <row r="531" spans="1:9" x14ac:dyDescent="0.25">
      <c r="A531">
        <v>780</v>
      </c>
      <c r="B531" t="s">
        <v>654</v>
      </c>
      <c r="C531" t="s">
        <v>167</v>
      </c>
      <c r="D531" t="s">
        <v>168</v>
      </c>
      <c r="E531" t="s">
        <v>93</v>
      </c>
      <c r="F531" t="s">
        <v>649</v>
      </c>
      <c r="G531" s="78" t="s">
        <v>872</v>
      </c>
      <c r="H531" s="140">
        <v>-1.5100000000000001E-2</v>
      </c>
      <c r="I531" s="140">
        <v>-8.6E-3</v>
      </c>
    </row>
    <row r="532" spans="1:9" x14ac:dyDescent="0.25">
      <c r="A532">
        <v>190</v>
      </c>
      <c r="B532" t="s">
        <v>648</v>
      </c>
      <c r="C532" t="s">
        <v>167</v>
      </c>
      <c r="D532" t="s">
        <v>168</v>
      </c>
      <c r="E532" t="s">
        <v>93</v>
      </c>
      <c r="F532" t="s">
        <v>649</v>
      </c>
      <c r="G532" s="78" t="s">
        <v>873</v>
      </c>
      <c r="H532" s="140">
        <v>-7.2388899113447472E-3</v>
      </c>
      <c r="I532" s="140">
        <v>-7.7999999999999996E-3</v>
      </c>
    </row>
    <row r="533" spans="1:9" x14ac:dyDescent="0.25">
      <c r="A533">
        <v>204</v>
      </c>
      <c r="B533" t="s">
        <v>650</v>
      </c>
      <c r="C533" t="s">
        <v>167</v>
      </c>
      <c r="D533" t="s">
        <v>168</v>
      </c>
      <c r="E533" t="s">
        <v>93</v>
      </c>
      <c r="F533" t="s">
        <v>649</v>
      </c>
      <c r="G533" s="78" t="s">
        <v>873</v>
      </c>
      <c r="H533" s="140">
        <v>-1.1830756752146778E-2</v>
      </c>
      <c r="I533" s="140">
        <v>-1.1104890543816413E-2</v>
      </c>
    </row>
    <row r="534" spans="1:9" x14ac:dyDescent="0.25">
      <c r="A534">
        <v>220</v>
      </c>
      <c r="B534" t="s">
        <v>240</v>
      </c>
      <c r="C534" t="s">
        <v>167</v>
      </c>
      <c r="D534" t="s">
        <v>168</v>
      </c>
      <c r="E534" t="s">
        <v>93</v>
      </c>
      <c r="F534" t="s">
        <v>649</v>
      </c>
      <c r="G534" s="78" t="s">
        <v>873</v>
      </c>
      <c r="H534" s="140">
        <v>-9.4190171148179416E-3</v>
      </c>
      <c r="I534" s="140">
        <v>-9.7368340165451712E-3</v>
      </c>
    </row>
    <row r="535" spans="1:9" x14ac:dyDescent="0.25">
      <c r="A535">
        <v>323</v>
      </c>
      <c r="B535" t="s">
        <v>651</v>
      </c>
      <c r="C535" t="s">
        <v>167</v>
      </c>
      <c r="D535" t="s">
        <v>168</v>
      </c>
      <c r="E535" t="s">
        <v>93</v>
      </c>
      <c r="F535" t="s">
        <v>649</v>
      </c>
      <c r="G535" s="78" t="s">
        <v>875</v>
      </c>
      <c r="H535" s="140">
        <v>-9.5999999999999992E-3</v>
      </c>
      <c r="I535" s="140">
        <v>-1.06E-2</v>
      </c>
    </row>
    <row r="536" spans="1:9" x14ac:dyDescent="0.25">
      <c r="A536">
        <v>692</v>
      </c>
      <c r="B536" t="s">
        <v>653</v>
      </c>
      <c r="C536" t="s">
        <v>167</v>
      </c>
      <c r="D536" t="s">
        <v>168</v>
      </c>
      <c r="E536" t="s">
        <v>93</v>
      </c>
      <c r="F536" t="s">
        <v>649</v>
      </c>
      <c r="G536" s="78" t="s">
        <v>875</v>
      </c>
      <c r="H536" s="140">
        <v>-8.6E-3</v>
      </c>
      <c r="I536" s="140">
        <v>-1.01E-2</v>
      </c>
    </row>
    <row r="537" spans="1:9" x14ac:dyDescent="0.25">
      <c r="A537">
        <v>1015</v>
      </c>
      <c r="B537" t="s">
        <v>655</v>
      </c>
      <c r="C537" t="s">
        <v>167</v>
      </c>
      <c r="D537" t="s">
        <v>168</v>
      </c>
      <c r="E537" t="s">
        <v>93</v>
      </c>
      <c r="F537" t="s">
        <v>649</v>
      </c>
      <c r="G537" s="78" t="s">
        <v>873</v>
      </c>
      <c r="H537" s="140">
        <v>-8.835539607430002E-3</v>
      </c>
      <c r="I537" s="140">
        <v>-9.0749153428874036E-3</v>
      </c>
    </row>
    <row r="538" spans="1:9" x14ac:dyDescent="0.25">
      <c r="A538">
        <v>388</v>
      </c>
      <c r="B538" t="s">
        <v>652</v>
      </c>
      <c r="C538" t="s">
        <v>167</v>
      </c>
      <c r="D538" t="s">
        <v>168</v>
      </c>
      <c r="E538" t="s">
        <v>93</v>
      </c>
      <c r="F538" t="s">
        <v>649</v>
      </c>
      <c r="G538" s="78" t="s">
        <v>872</v>
      </c>
      <c r="H538" s="140">
        <v>-6.4041095091037711E-3</v>
      </c>
      <c r="I538" s="140">
        <v>-6.294213614096782E-3</v>
      </c>
    </row>
    <row r="539" spans="1:9" x14ac:dyDescent="0.25">
      <c r="A539">
        <v>330</v>
      </c>
      <c r="B539" t="s">
        <v>658</v>
      </c>
      <c r="C539" t="s">
        <v>167</v>
      </c>
      <c r="D539" t="s">
        <v>63</v>
      </c>
      <c r="E539" t="s">
        <v>94</v>
      </c>
      <c r="F539" t="s">
        <v>657</v>
      </c>
      <c r="G539" s="78" t="s">
        <v>872</v>
      </c>
      <c r="H539" s="140">
        <v>-5.7999999999999996E-3</v>
      </c>
      <c r="I539" s="140">
        <v>-4.7000000000000002E-3</v>
      </c>
    </row>
    <row r="540" spans="1:9" x14ac:dyDescent="0.25">
      <c r="A540">
        <v>337</v>
      </c>
      <c r="B540" t="s">
        <v>659</v>
      </c>
      <c r="C540" t="s">
        <v>167</v>
      </c>
      <c r="D540" t="s">
        <v>63</v>
      </c>
      <c r="E540" t="s">
        <v>94</v>
      </c>
      <c r="F540" t="s">
        <v>657</v>
      </c>
      <c r="G540" s="78" t="s">
        <v>875</v>
      </c>
      <c r="H540" s="140">
        <v>-8.9944472434022149E-4</v>
      </c>
      <c r="I540" s="140">
        <v>-4.4999999999999997E-3</v>
      </c>
    </row>
    <row r="541" spans="1:9" x14ac:dyDescent="0.25">
      <c r="A541">
        <v>385</v>
      </c>
      <c r="B541" t="s">
        <v>661</v>
      </c>
      <c r="C541" t="s">
        <v>167</v>
      </c>
      <c r="D541" t="s">
        <v>63</v>
      </c>
      <c r="E541" t="s">
        <v>94</v>
      </c>
      <c r="F541" t="s">
        <v>657</v>
      </c>
      <c r="G541" s="78" t="s">
        <v>875</v>
      </c>
      <c r="H541" s="140">
        <v>-5.7999999999999996E-3</v>
      </c>
      <c r="I541" s="140">
        <v>-7.7000000000000002E-3</v>
      </c>
    </row>
    <row r="542" spans="1:9" x14ac:dyDescent="0.25">
      <c r="A542">
        <v>702</v>
      </c>
      <c r="B542" t="s">
        <v>664</v>
      </c>
      <c r="C542" t="s">
        <v>167</v>
      </c>
      <c r="D542" t="s">
        <v>63</v>
      </c>
      <c r="E542" t="s">
        <v>94</v>
      </c>
      <c r="F542" t="s">
        <v>657</v>
      </c>
      <c r="G542" s="78" t="s">
        <v>875</v>
      </c>
      <c r="H542" s="140">
        <v>-3.5999999999999999E-3</v>
      </c>
      <c r="I542" s="140">
        <v>-8.0999999999999996E-3</v>
      </c>
    </row>
    <row r="543" spans="1:9" x14ac:dyDescent="0.25">
      <c r="A543">
        <v>1099</v>
      </c>
      <c r="B543" t="s">
        <v>668</v>
      </c>
      <c r="C543" t="s">
        <v>167</v>
      </c>
      <c r="D543" t="s">
        <v>63</v>
      </c>
      <c r="E543" t="s">
        <v>94</v>
      </c>
      <c r="F543" t="s">
        <v>657</v>
      </c>
      <c r="G543" s="78" t="s">
        <v>875</v>
      </c>
      <c r="H543" s="140">
        <v>-2.5000000000000001E-3</v>
      </c>
      <c r="I543" s="140">
        <v>-5.8999999999999999E-3</v>
      </c>
    </row>
    <row r="544" spans="1:9" x14ac:dyDescent="0.25">
      <c r="A544">
        <v>1042</v>
      </c>
      <c r="B544" t="s">
        <v>666</v>
      </c>
      <c r="C544" t="s">
        <v>167</v>
      </c>
      <c r="D544" t="s">
        <v>63</v>
      </c>
      <c r="E544" t="s">
        <v>94</v>
      </c>
      <c r="F544" t="s">
        <v>657</v>
      </c>
      <c r="G544" s="78" t="s">
        <v>874</v>
      </c>
      <c r="H544" s="140">
        <v>-4.2697620547856646E-3</v>
      </c>
      <c r="I544" s="140">
        <v>-4.4999999999999997E-3</v>
      </c>
    </row>
    <row r="545" spans="1:9" x14ac:dyDescent="0.25">
      <c r="A545">
        <v>1078</v>
      </c>
      <c r="B545" t="s">
        <v>667</v>
      </c>
      <c r="C545" t="s">
        <v>167</v>
      </c>
      <c r="D545" t="s">
        <v>63</v>
      </c>
      <c r="E545" t="s">
        <v>94</v>
      </c>
      <c r="F545" t="s">
        <v>657</v>
      </c>
      <c r="G545" s="78" t="s">
        <v>874</v>
      </c>
      <c r="H545" s="140">
        <v>-9.8904946846556738E-3</v>
      </c>
      <c r="I545" s="140">
        <v>-9.8904946846556738E-3</v>
      </c>
    </row>
    <row r="546" spans="1:9" x14ac:dyDescent="0.25">
      <c r="A546">
        <v>1143</v>
      </c>
      <c r="B546" t="s">
        <v>854</v>
      </c>
      <c r="C546" t="s">
        <v>167</v>
      </c>
      <c r="D546" t="s">
        <v>63</v>
      </c>
      <c r="E546" t="s">
        <v>94</v>
      </c>
      <c r="F546" t="s">
        <v>657</v>
      </c>
      <c r="G546" s="78" t="s">
        <v>874</v>
      </c>
      <c r="H546" s="140" t="s">
        <v>876</v>
      </c>
      <c r="I546" s="140">
        <v>-8.6E-3</v>
      </c>
    </row>
    <row r="547" spans="1:9" x14ac:dyDescent="0.25">
      <c r="A547">
        <v>4609</v>
      </c>
      <c r="B547" t="s">
        <v>844</v>
      </c>
      <c r="C547" t="s">
        <v>863</v>
      </c>
      <c r="D547" t="s">
        <v>63</v>
      </c>
      <c r="E547" t="s">
        <v>94</v>
      </c>
      <c r="F547" t="s">
        <v>657</v>
      </c>
      <c r="G547" s="78" t="s">
        <v>874</v>
      </c>
      <c r="H547" s="140" t="s">
        <v>876</v>
      </c>
      <c r="I547" s="140"/>
    </row>
    <row r="548" spans="1:9" x14ac:dyDescent="0.25">
      <c r="A548">
        <v>1174</v>
      </c>
      <c r="B548" t="s">
        <v>844</v>
      </c>
      <c r="C548" t="s">
        <v>167</v>
      </c>
      <c r="D548" t="s">
        <v>63</v>
      </c>
      <c r="E548" t="s">
        <v>94</v>
      </c>
      <c r="F548" t="s">
        <v>657</v>
      </c>
      <c r="G548" s="78" t="s">
        <v>874</v>
      </c>
      <c r="H548" s="140" t="s">
        <v>876</v>
      </c>
      <c r="I548" s="140">
        <v>-8.6E-3</v>
      </c>
    </row>
    <row r="549" spans="1:9" x14ac:dyDescent="0.25">
      <c r="A549">
        <v>338</v>
      </c>
      <c r="B549" t="s">
        <v>660</v>
      </c>
      <c r="C549" t="s">
        <v>167</v>
      </c>
      <c r="D549" t="s">
        <v>63</v>
      </c>
      <c r="E549" t="s">
        <v>94</v>
      </c>
      <c r="F549" t="s">
        <v>657</v>
      </c>
      <c r="G549" s="78" t="s">
        <v>873</v>
      </c>
      <c r="H549" s="140">
        <v>-1.0183922260025499E-2</v>
      </c>
      <c r="I549" s="140">
        <v>-1.0001993315708953E-2</v>
      </c>
    </row>
    <row r="550" spans="1:9" x14ac:dyDescent="0.25">
      <c r="A550">
        <v>451</v>
      </c>
      <c r="B550" t="s">
        <v>662</v>
      </c>
      <c r="C550" t="s">
        <v>167</v>
      </c>
      <c r="D550" t="s">
        <v>63</v>
      </c>
      <c r="E550" t="s">
        <v>94</v>
      </c>
      <c r="F550" t="s">
        <v>657</v>
      </c>
      <c r="G550" s="78" t="s">
        <v>873</v>
      </c>
      <c r="H550" s="140">
        <v>-8.8157235232080265E-3</v>
      </c>
      <c r="I550" s="140">
        <v>-8.2716143137781372E-3</v>
      </c>
    </row>
    <row r="551" spans="1:9" x14ac:dyDescent="0.25">
      <c r="A551">
        <v>1039</v>
      </c>
      <c r="B551" t="s">
        <v>665</v>
      </c>
      <c r="C551" t="s">
        <v>167</v>
      </c>
      <c r="D551" t="s">
        <v>63</v>
      </c>
      <c r="E551" t="s">
        <v>94</v>
      </c>
      <c r="F551" t="s">
        <v>657</v>
      </c>
      <c r="G551" s="78" t="s">
        <v>873</v>
      </c>
      <c r="H551" s="140">
        <v>-1.1579872341882494E-2</v>
      </c>
      <c r="I551" s="140">
        <v>-1.2E-2</v>
      </c>
    </row>
    <row r="552" spans="1:9" x14ac:dyDescent="0.25">
      <c r="A552">
        <v>617</v>
      </c>
      <c r="B552" t="s">
        <v>663</v>
      </c>
      <c r="C552" t="s">
        <v>167</v>
      </c>
      <c r="D552" t="s">
        <v>63</v>
      </c>
      <c r="E552" t="s">
        <v>94</v>
      </c>
      <c r="F552" t="s">
        <v>657</v>
      </c>
      <c r="G552" s="78" t="s">
        <v>872</v>
      </c>
      <c r="H552" s="140">
        <v>-3.9020230852217903E-3</v>
      </c>
      <c r="I552" s="140">
        <v>-4.4999999999999997E-3</v>
      </c>
    </row>
    <row r="553" spans="1:9" x14ac:dyDescent="0.25">
      <c r="A553">
        <v>3108</v>
      </c>
      <c r="B553" t="s">
        <v>683</v>
      </c>
      <c r="C553" t="s">
        <v>66</v>
      </c>
      <c r="D553" t="s">
        <v>63</v>
      </c>
      <c r="E553" t="s">
        <v>94</v>
      </c>
      <c r="F553" t="s">
        <v>670</v>
      </c>
      <c r="G553" s="78" t="s">
        <v>875</v>
      </c>
      <c r="H553" s="140">
        <v>1.5862292921468489E-5</v>
      </c>
      <c r="I553" s="140">
        <v>-3.4500000000000004E-3</v>
      </c>
    </row>
    <row r="554" spans="1:9" x14ac:dyDescent="0.25">
      <c r="A554">
        <v>3050</v>
      </c>
      <c r="B554" t="s">
        <v>682</v>
      </c>
      <c r="C554" t="s">
        <v>66</v>
      </c>
      <c r="D554" t="s">
        <v>63</v>
      </c>
      <c r="E554" t="s">
        <v>94</v>
      </c>
      <c r="F554" t="s">
        <v>670</v>
      </c>
      <c r="G554" s="78" t="s">
        <v>873</v>
      </c>
      <c r="H554" s="140">
        <v>-7.9132835426800243E-3</v>
      </c>
      <c r="I554" s="140">
        <v>-7.4000000000000003E-3</v>
      </c>
    </row>
    <row r="555" spans="1:9" x14ac:dyDescent="0.25">
      <c r="A555">
        <v>335</v>
      </c>
      <c r="B555" t="s">
        <v>669</v>
      </c>
      <c r="C555" t="s">
        <v>167</v>
      </c>
      <c r="D555" t="s">
        <v>63</v>
      </c>
      <c r="E555" t="s">
        <v>94</v>
      </c>
      <c r="F555" t="s">
        <v>670</v>
      </c>
      <c r="G555" s="78" t="s">
        <v>875</v>
      </c>
      <c r="H555" s="140">
        <v>-9.5029965206241442E-3</v>
      </c>
      <c r="I555" s="140">
        <v>-8.9999999999999993E-3</v>
      </c>
    </row>
    <row r="556" spans="1:9" x14ac:dyDescent="0.25">
      <c r="A556">
        <v>770</v>
      </c>
      <c r="B556" t="s">
        <v>681</v>
      </c>
      <c r="C556" t="s">
        <v>167</v>
      </c>
      <c r="D556" t="s">
        <v>63</v>
      </c>
      <c r="E556" t="s">
        <v>94</v>
      </c>
      <c r="F556" t="s">
        <v>670</v>
      </c>
      <c r="G556" s="78" t="s">
        <v>872</v>
      </c>
      <c r="H556" s="140">
        <v>-5.4000000000000003E-3</v>
      </c>
      <c r="I556" s="140">
        <v>-3.8999999999999998E-3</v>
      </c>
    </row>
    <row r="557" spans="1:9" x14ac:dyDescent="0.25">
      <c r="A557">
        <v>1229</v>
      </c>
      <c r="B557" t="s">
        <v>855</v>
      </c>
      <c r="C557" t="s">
        <v>167</v>
      </c>
      <c r="D557" t="s">
        <v>63</v>
      </c>
      <c r="E557" t="s">
        <v>94</v>
      </c>
      <c r="F557" t="s">
        <v>670</v>
      </c>
      <c r="G557" s="78" t="s">
        <v>874</v>
      </c>
      <c r="H557" s="140" t="s">
        <v>876</v>
      </c>
      <c r="I557" s="140">
        <v>-8.6E-3</v>
      </c>
    </row>
    <row r="558" spans="1:9" x14ac:dyDescent="0.25">
      <c r="A558">
        <v>349</v>
      </c>
      <c r="B558" t="s">
        <v>671</v>
      </c>
      <c r="C558" t="s">
        <v>167</v>
      </c>
      <c r="D558" t="s">
        <v>63</v>
      </c>
      <c r="E558" t="s">
        <v>94</v>
      </c>
      <c r="F558" t="s">
        <v>670</v>
      </c>
      <c r="G558" s="78" t="s">
        <v>873</v>
      </c>
      <c r="H558" s="140">
        <v>-9.0277119587778652E-3</v>
      </c>
      <c r="I558" s="140">
        <v>-9.2022282268245676E-3</v>
      </c>
    </row>
    <row r="559" spans="1:9" x14ac:dyDescent="0.25">
      <c r="A559">
        <v>377</v>
      </c>
      <c r="B559" t="s">
        <v>672</v>
      </c>
      <c r="C559" t="s">
        <v>167</v>
      </c>
      <c r="D559" t="s">
        <v>63</v>
      </c>
      <c r="E559" t="s">
        <v>94</v>
      </c>
      <c r="F559" t="s">
        <v>670</v>
      </c>
      <c r="G559" s="78" t="s">
        <v>873</v>
      </c>
      <c r="H559" s="140">
        <v>-8.276116106536377E-3</v>
      </c>
      <c r="I559" s="140">
        <v>-8.4243336803777272E-3</v>
      </c>
    </row>
    <row r="560" spans="1:9" x14ac:dyDescent="0.25">
      <c r="A560">
        <v>387</v>
      </c>
      <c r="B560" t="s">
        <v>674</v>
      </c>
      <c r="C560" t="s">
        <v>167</v>
      </c>
      <c r="D560" t="s">
        <v>63</v>
      </c>
      <c r="E560" t="s">
        <v>94</v>
      </c>
      <c r="F560" t="s">
        <v>670</v>
      </c>
      <c r="G560" s="78" t="s">
        <v>873</v>
      </c>
      <c r="H560" s="140">
        <v>-1.0500000000000001E-2</v>
      </c>
      <c r="I560" s="140">
        <v>-6.6E-3</v>
      </c>
    </row>
    <row r="561" spans="1:9" x14ac:dyDescent="0.25">
      <c r="A561">
        <v>713</v>
      </c>
      <c r="B561" t="s">
        <v>678</v>
      </c>
      <c r="C561" t="s">
        <v>167</v>
      </c>
      <c r="D561" t="s">
        <v>63</v>
      </c>
      <c r="E561" t="s">
        <v>94</v>
      </c>
      <c r="F561" t="s">
        <v>670</v>
      </c>
      <c r="G561" s="78" t="s">
        <v>873</v>
      </c>
      <c r="H561" s="140">
        <v>-8.2272322489666851E-3</v>
      </c>
      <c r="I561" s="140">
        <v>-8.3260678903777641E-3</v>
      </c>
    </row>
    <row r="562" spans="1:9" x14ac:dyDescent="0.25">
      <c r="A562">
        <v>381</v>
      </c>
      <c r="B562" t="s">
        <v>673</v>
      </c>
      <c r="C562" t="s">
        <v>167</v>
      </c>
      <c r="D562" t="s">
        <v>63</v>
      </c>
      <c r="E562" t="s">
        <v>94</v>
      </c>
      <c r="F562" t="s">
        <v>670</v>
      </c>
      <c r="G562" s="78" t="s">
        <v>872</v>
      </c>
      <c r="H562" s="140">
        <v>-7.0000000000000001E-3</v>
      </c>
      <c r="I562" s="140">
        <v>-5.3E-3</v>
      </c>
    </row>
    <row r="563" spans="1:9" x14ac:dyDescent="0.25">
      <c r="A563">
        <v>421</v>
      </c>
      <c r="B563" t="s">
        <v>675</v>
      </c>
      <c r="C563" t="s">
        <v>167</v>
      </c>
      <c r="D563" t="s">
        <v>63</v>
      </c>
      <c r="E563" t="s">
        <v>94</v>
      </c>
      <c r="F563" t="s">
        <v>670</v>
      </c>
      <c r="G563" s="78" t="s">
        <v>873</v>
      </c>
      <c r="H563" s="140">
        <v>-1.15E-2</v>
      </c>
      <c r="I563" s="140">
        <v>-6.4999999999999997E-3</v>
      </c>
    </row>
    <row r="564" spans="1:9" x14ac:dyDescent="0.25">
      <c r="A564">
        <v>424</v>
      </c>
      <c r="B564" t="s">
        <v>676</v>
      </c>
      <c r="C564" t="s">
        <v>167</v>
      </c>
      <c r="D564" t="s">
        <v>63</v>
      </c>
      <c r="E564" t="s">
        <v>94</v>
      </c>
      <c r="F564" t="s">
        <v>670</v>
      </c>
      <c r="G564" s="78" t="s">
        <v>872</v>
      </c>
      <c r="H564" s="140">
        <v>-5.8168651231063758E-3</v>
      </c>
      <c r="I564" s="140">
        <v>-6.2571873039653459E-3</v>
      </c>
    </row>
    <row r="565" spans="1:9" x14ac:dyDescent="0.25">
      <c r="A565">
        <v>709</v>
      </c>
      <c r="B565" t="s">
        <v>677</v>
      </c>
      <c r="C565" t="s">
        <v>167</v>
      </c>
      <c r="D565" t="s">
        <v>63</v>
      </c>
      <c r="E565" t="s">
        <v>94</v>
      </c>
      <c r="F565" t="s">
        <v>670</v>
      </c>
      <c r="G565" s="78" t="s">
        <v>872</v>
      </c>
      <c r="H565" s="140">
        <v>-6.5257066001130938E-3</v>
      </c>
      <c r="I565" s="140">
        <v>-6.1937198119003832E-3</v>
      </c>
    </row>
    <row r="566" spans="1:9" x14ac:dyDescent="0.25">
      <c r="A566">
        <v>714</v>
      </c>
      <c r="B566" t="s">
        <v>679</v>
      </c>
      <c r="C566" t="s">
        <v>167</v>
      </c>
      <c r="D566" t="s">
        <v>63</v>
      </c>
      <c r="E566" t="s">
        <v>94</v>
      </c>
      <c r="F566" t="s">
        <v>670</v>
      </c>
      <c r="G566" s="78" t="s">
        <v>872</v>
      </c>
      <c r="H566" s="140">
        <v>-1.1892317838452212E-2</v>
      </c>
      <c r="I566" s="140">
        <v>-1.1738361075434035E-2</v>
      </c>
    </row>
    <row r="567" spans="1:9" x14ac:dyDescent="0.25">
      <c r="A567">
        <v>754</v>
      </c>
      <c r="B567" t="s">
        <v>680</v>
      </c>
      <c r="C567" t="s">
        <v>167</v>
      </c>
      <c r="D567" t="s">
        <v>63</v>
      </c>
      <c r="E567" t="s">
        <v>94</v>
      </c>
      <c r="F567" t="s">
        <v>670</v>
      </c>
      <c r="G567" s="78" t="s">
        <v>875</v>
      </c>
      <c r="H567" s="140">
        <v>-1.8E-3</v>
      </c>
      <c r="I567" s="140">
        <v>-6.7000000000000002E-3</v>
      </c>
    </row>
    <row r="568" spans="1:9" x14ac:dyDescent="0.25">
      <c r="A568">
        <v>3037</v>
      </c>
      <c r="B568" t="s">
        <v>372</v>
      </c>
      <c r="C568" t="s">
        <v>66</v>
      </c>
      <c r="D568" t="s">
        <v>63</v>
      </c>
      <c r="E568" t="s">
        <v>94</v>
      </c>
      <c r="F568" t="s">
        <v>361</v>
      </c>
      <c r="G568" s="78" t="s">
        <v>875</v>
      </c>
      <c r="H568" s="140">
        <v>-3.6668587148242604E-3</v>
      </c>
      <c r="I568" s="140">
        <v>-4.0499999999999998E-3</v>
      </c>
    </row>
    <row r="569" spans="1:9" x14ac:dyDescent="0.25">
      <c r="A569">
        <v>1029</v>
      </c>
      <c r="B569" t="s">
        <v>402</v>
      </c>
      <c r="C569" t="s">
        <v>167</v>
      </c>
      <c r="D569" t="s">
        <v>63</v>
      </c>
      <c r="E569" t="s">
        <v>94</v>
      </c>
      <c r="F569" t="s">
        <v>361</v>
      </c>
      <c r="G569" s="78" t="s">
        <v>875</v>
      </c>
      <c r="H569" s="140">
        <v>2.2893315305418671E-4</v>
      </c>
      <c r="I569" s="140">
        <v>-6.0000000000000001E-3</v>
      </c>
    </row>
    <row r="570" spans="1:9" x14ac:dyDescent="0.25">
      <c r="A570">
        <v>1163</v>
      </c>
      <c r="B570" t="s">
        <v>371</v>
      </c>
      <c r="C570" t="s">
        <v>167</v>
      </c>
      <c r="D570" t="s">
        <v>63</v>
      </c>
      <c r="E570" t="s">
        <v>94</v>
      </c>
      <c r="F570" t="s">
        <v>361</v>
      </c>
      <c r="G570" s="78" t="s">
        <v>874</v>
      </c>
      <c r="H570" s="140">
        <v>-4.2397613207862898E-3</v>
      </c>
      <c r="I570" s="140">
        <v>-4.4999999999999997E-3</v>
      </c>
    </row>
    <row r="571" spans="1:9" x14ac:dyDescent="0.25">
      <c r="A571">
        <v>115</v>
      </c>
      <c r="B571" t="s">
        <v>360</v>
      </c>
      <c r="C571" t="s">
        <v>167</v>
      </c>
      <c r="D571" t="s">
        <v>63</v>
      </c>
      <c r="E571" t="s">
        <v>94</v>
      </c>
      <c r="F571" t="s">
        <v>361</v>
      </c>
      <c r="G571" s="78" t="s">
        <v>872</v>
      </c>
      <c r="H571" s="140">
        <v>-8.8000000000000005E-3</v>
      </c>
      <c r="I571" s="140">
        <v>-8.8999999999999999E-3</v>
      </c>
    </row>
    <row r="572" spans="1:9" x14ac:dyDescent="0.25">
      <c r="A572">
        <v>116</v>
      </c>
      <c r="B572" t="s">
        <v>362</v>
      </c>
      <c r="C572" t="s">
        <v>167</v>
      </c>
      <c r="D572" t="s">
        <v>63</v>
      </c>
      <c r="E572" t="s">
        <v>94</v>
      </c>
      <c r="F572" t="s">
        <v>361</v>
      </c>
      <c r="G572" s="78" t="s">
        <v>873</v>
      </c>
      <c r="H572" s="140">
        <v>-1.119815806343465E-2</v>
      </c>
      <c r="I572" s="140">
        <v>-1.0916722591050977E-2</v>
      </c>
    </row>
    <row r="573" spans="1:9" x14ac:dyDescent="0.25">
      <c r="A573">
        <v>117</v>
      </c>
      <c r="B573" t="s">
        <v>363</v>
      </c>
      <c r="C573" t="s">
        <v>167</v>
      </c>
      <c r="D573" t="s">
        <v>63</v>
      </c>
      <c r="E573" t="s">
        <v>94</v>
      </c>
      <c r="F573" t="s">
        <v>361</v>
      </c>
      <c r="G573" s="78" t="s">
        <v>873</v>
      </c>
      <c r="H573" s="140">
        <v>-6.7908830909073209E-3</v>
      </c>
      <c r="I573" s="140">
        <v>-6.9175721692210394E-3</v>
      </c>
    </row>
    <row r="574" spans="1:9" x14ac:dyDescent="0.25">
      <c r="A574">
        <v>118</v>
      </c>
      <c r="B574" t="s">
        <v>364</v>
      </c>
      <c r="C574" t="s">
        <v>167</v>
      </c>
      <c r="D574" t="s">
        <v>63</v>
      </c>
      <c r="E574" t="s">
        <v>94</v>
      </c>
      <c r="F574" t="s">
        <v>361</v>
      </c>
      <c r="G574" s="78" t="s">
        <v>872</v>
      </c>
      <c r="H574" s="140">
        <v>-1.21E-2</v>
      </c>
      <c r="I574" s="140">
        <v>-1.2800000000000001E-2</v>
      </c>
    </row>
    <row r="575" spans="1:9" x14ac:dyDescent="0.25">
      <c r="A575">
        <v>119</v>
      </c>
      <c r="B575" t="s">
        <v>365</v>
      </c>
      <c r="C575" t="s">
        <v>167</v>
      </c>
      <c r="D575" t="s">
        <v>63</v>
      </c>
      <c r="E575" t="s">
        <v>94</v>
      </c>
      <c r="F575" t="s">
        <v>361</v>
      </c>
      <c r="G575" s="78" t="s">
        <v>873</v>
      </c>
      <c r="H575" s="140">
        <v>-1.37E-2</v>
      </c>
      <c r="I575" s="140">
        <v>-8.8999999999999999E-3</v>
      </c>
    </row>
    <row r="576" spans="1:9" x14ac:dyDescent="0.25">
      <c r="A576">
        <v>134</v>
      </c>
      <c r="B576" t="s">
        <v>367</v>
      </c>
      <c r="C576" t="s">
        <v>167</v>
      </c>
      <c r="D576" t="s">
        <v>63</v>
      </c>
      <c r="E576" t="s">
        <v>94</v>
      </c>
      <c r="F576" t="s">
        <v>361</v>
      </c>
      <c r="G576" s="78" t="s">
        <v>872</v>
      </c>
      <c r="H576" s="140">
        <v>-9.9000000000000008E-3</v>
      </c>
      <c r="I576" s="140">
        <v>-7.7000000000000002E-3</v>
      </c>
    </row>
    <row r="577" spans="1:9" x14ac:dyDescent="0.25">
      <c r="A577">
        <v>408</v>
      </c>
      <c r="B577" t="s">
        <v>368</v>
      </c>
      <c r="C577" t="s">
        <v>167</v>
      </c>
      <c r="D577" t="s">
        <v>63</v>
      </c>
      <c r="E577" t="s">
        <v>94</v>
      </c>
      <c r="F577" t="s">
        <v>361</v>
      </c>
      <c r="G577" s="78" t="s">
        <v>873</v>
      </c>
      <c r="H577" s="140">
        <v>-9.6270293181597664E-3</v>
      </c>
      <c r="I577" s="140">
        <v>-9.7074710969329396E-3</v>
      </c>
    </row>
    <row r="578" spans="1:9" s="31" customFormat="1" x14ac:dyDescent="0.25">
      <c r="A578" s="31">
        <v>635</v>
      </c>
      <c r="B578" s="31" t="s">
        <v>370</v>
      </c>
      <c r="C578" s="31" t="s">
        <v>167</v>
      </c>
      <c r="D578" s="31" t="s">
        <v>63</v>
      </c>
      <c r="E578" s="31" t="s">
        <v>94</v>
      </c>
      <c r="F578" s="31" t="s">
        <v>361</v>
      </c>
      <c r="G578" s="78" t="s">
        <v>873</v>
      </c>
      <c r="H578" s="140">
        <v>-1.09E-2</v>
      </c>
      <c r="I578" s="140">
        <v>-6.1000000000000004E-3</v>
      </c>
    </row>
    <row r="579" spans="1:9" x14ac:dyDescent="0.25">
      <c r="A579">
        <v>1112</v>
      </c>
      <c r="B579" t="s">
        <v>690</v>
      </c>
      <c r="C579" t="s">
        <v>167</v>
      </c>
      <c r="D579" t="s">
        <v>63</v>
      </c>
      <c r="E579" t="s">
        <v>94</v>
      </c>
      <c r="F579" t="s">
        <v>684</v>
      </c>
      <c r="G579" s="78" t="s">
        <v>874</v>
      </c>
      <c r="H579" s="140">
        <v>-1.5426153651128711E-2</v>
      </c>
      <c r="I579" s="140">
        <v>-1.4E-2</v>
      </c>
    </row>
    <row r="580" spans="1:9" x14ac:dyDescent="0.25">
      <c r="A580">
        <v>1216</v>
      </c>
      <c r="B580" t="s">
        <v>898</v>
      </c>
      <c r="C580" t="s">
        <v>167</v>
      </c>
      <c r="D580" t="s">
        <v>63</v>
      </c>
      <c r="E580" t="s">
        <v>94</v>
      </c>
      <c r="F580" t="s">
        <v>684</v>
      </c>
      <c r="G580" s="78" t="s">
        <v>874</v>
      </c>
      <c r="H580" s="140" t="s">
        <v>876</v>
      </c>
      <c r="I580" s="140"/>
    </row>
    <row r="581" spans="1:9" x14ac:dyDescent="0.25">
      <c r="A581">
        <v>1222</v>
      </c>
      <c r="B581" t="s">
        <v>856</v>
      </c>
      <c r="C581" t="s">
        <v>167</v>
      </c>
      <c r="D581" t="s">
        <v>63</v>
      </c>
      <c r="E581" t="s">
        <v>94</v>
      </c>
      <c r="F581" t="s">
        <v>684</v>
      </c>
      <c r="G581" s="78" t="s">
        <v>874</v>
      </c>
      <c r="H581" s="140" t="s">
        <v>876</v>
      </c>
      <c r="I581" s="140">
        <v>-8.6E-3</v>
      </c>
    </row>
    <row r="582" spans="1:9" x14ac:dyDescent="0.25">
      <c r="A582">
        <v>126</v>
      </c>
      <c r="B582" t="s">
        <v>685</v>
      </c>
      <c r="C582" t="s">
        <v>167</v>
      </c>
      <c r="D582" t="s">
        <v>63</v>
      </c>
      <c r="E582" t="s">
        <v>94</v>
      </c>
      <c r="F582" t="s">
        <v>684</v>
      </c>
      <c r="G582" s="78" t="s">
        <v>873</v>
      </c>
      <c r="H582" s="140">
        <v>-1.1150090815225285E-2</v>
      </c>
      <c r="I582" s="140">
        <v>-1.1032648969033863E-2</v>
      </c>
    </row>
    <row r="583" spans="1:9" x14ac:dyDescent="0.25">
      <c r="A583">
        <v>331</v>
      </c>
      <c r="B583" t="s">
        <v>687</v>
      </c>
      <c r="C583" t="s">
        <v>167</v>
      </c>
      <c r="D583" t="s">
        <v>63</v>
      </c>
      <c r="E583" t="s">
        <v>94</v>
      </c>
      <c r="F583" t="s">
        <v>684</v>
      </c>
      <c r="G583" s="78" t="s">
        <v>873</v>
      </c>
      <c r="H583" s="140">
        <v>-1.1204580307461274E-2</v>
      </c>
      <c r="I583" s="140">
        <v>-1.1029726795972907E-2</v>
      </c>
    </row>
    <row r="584" spans="1:9" x14ac:dyDescent="0.25">
      <c r="A584">
        <v>125</v>
      </c>
      <c r="B584" t="s">
        <v>684</v>
      </c>
      <c r="C584" t="s">
        <v>167</v>
      </c>
      <c r="D584" t="s">
        <v>63</v>
      </c>
      <c r="E584" t="s">
        <v>94</v>
      </c>
      <c r="F584" t="s">
        <v>684</v>
      </c>
      <c r="G584" s="78" t="s">
        <v>872</v>
      </c>
      <c r="H584" s="140">
        <v>-1.3822369241898901E-2</v>
      </c>
      <c r="I584" s="140">
        <v>-1.3066580724208488E-2</v>
      </c>
    </row>
    <row r="585" spans="1:9" x14ac:dyDescent="0.25">
      <c r="A585">
        <v>205</v>
      </c>
      <c r="B585" t="s">
        <v>686</v>
      </c>
      <c r="C585" t="s">
        <v>167</v>
      </c>
      <c r="D585" t="s">
        <v>63</v>
      </c>
      <c r="E585" t="s">
        <v>94</v>
      </c>
      <c r="F585" t="s">
        <v>684</v>
      </c>
      <c r="G585" s="78" t="s">
        <v>872</v>
      </c>
      <c r="H585" s="140">
        <v>-1.6754935640941306E-2</v>
      </c>
      <c r="I585" s="140">
        <v>-1.4500000000000001E-2</v>
      </c>
    </row>
    <row r="586" spans="1:9" x14ac:dyDescent="0.25">
      <c r="A586">
        <v>721</v>
      </c>
      <c r="B586" t="s">
        <v>688</v>
      </c>
      <c r="C586" t="s">
        <v>167</v>
      </c>
      <c r="D586" t="s">
        <v>63</v>
      </c>
      <c r="E586" t="s">
        <v>94</v>
      </c>
      <c r="F586" t="s">
        <v>684</v>
      </c>
      <c r="G586" s="78" t="s">
        <v>872</v>
      </c>
      <c r="H586" s="140">
        <v>-7.4999999999999997E-3</v>
      </c>
      <c r="I586" s="140">
        <v>-6.0000000000000001E-3</v>
      </c>
    </row>
    <row r="587" spans="1:9" x14ac:dyDescent="0.25">
      <c r="A587">
        <v>760</v>
      </c>
      <c r="B587" t="s">
        <v>689</v>
      </c>
      <c r="C587" t="s">
        <v>167</v>
      </c>
      <c r="D587" t="s">
        <v>63</v>
      </c>
      <c r="E587" t="s">
        <v>94</v>
      </c>
      <c r="F587" t="s">
        <v>684</v>
      </c>
      <c r="G587" s="78" t="s">
        <v>875</v>
      </c>
      <c r="H587" s="140">
        <v>-3.3E-3</v>
      </c>
      <c r="I587" s="140">
        <v>-6.4999999999999997E-3</v>
      </c>
    </row>
    <row r="588" spans="1:9" x14ac:dyDescent="0.25">
      <c r="A588">
        <v>1136</v>
      </c>
      <c r="B588" t="s">
        <v>691</v>
      </c>
      <c r="C588" t="s">
        <v>167</v>
      </c>
      <c r="D588" t="s">
        <v>63</v>
      </c>
      <c r="E588" t="s">
        <v>94</v>
      </c>
      <c r="F588" t="s">
        <v>684</v>
      </c>
      <c r="G588" s="78" t="s">
        <v>875</v>
      </c>
      <c r="H588" s="140">
        <v>-3.3999999999999998E-3</v>
      </c>
      <c r="I588" s="140">
        <v>-8.6999999999999994E-3</v>
      </c>
    </row>
    <row r="589" spans="1:9" x14ac:dyDescent="0.25">
      <c r="A589">
        <v>395</v>
      </c>
      <c r="B589" t="s">
        <v>694</v>
      </c>
      <c r="C589" t="s">
        <v>167</v>
      </c>
      <c r="D589" t="s">
        <v>63</v>
      </c>
      <c r="E589" t="s">
        <v>94</v>
      </c>
      <c r="F589" t="s">
        <v>693</v>
      </c>
      <c r="G589" s="78" t="s">
        <v>875</v>
      </c>
      <c r="H589" s="140">
        <v>-2.5301481602534879E-3</v>
      </c>
      <c r="I589" s="140">
        <v>-4.4999999999999997E-3</v>
      </c>
    </row>
    <row r="590" spans="1:9" x14ac:dyDescent="0.25">
      <c r="A590">
        <v>703</v>
      </c>
      <c r="B590" t="s">
        <v>697</v>
      </c>
      <c r="C590" t="s">
        <v>167</v>
      </c>
      <c r="D590" t="s">
        <v>63</v>
      </c>
      <c r="E590" t="s">
        <v>94</v>
      </c>
      <c r="F590" t="s">
        <v>693</v>
      </c>
      <c r="G590" s="78" t="s">
        <v>875</v>
      </c>
      <c r="H590" s="140">
        <v>-4.7489027492655569E-3</v>
      </c>
      <c r="I590" s="140">
        <v>-4.9363621324599238E-3</v>
      </c>
    </row>
    <row r="591" spans="1:9" x14ac:dyDescent="0.25">
      <c r="A591">
        <v>1175</v>
      </c>
      <c r="B591" t="s">
        <v>701</v>
      </c>
      <c r="C591" t="s">
        <v>167</v>
      </c>
      <c r="D591" t="s">
        <v>63</v>
      </c>
      <c r="E591" t="s">
        <v>94</v>
      </c>
      <c r="F591" t="s">
        <v>693</v>
      </c>
      <c r="G591" s="78" t="s">
        <v>875</v>
      </c>
      <c r="H591" s="140">
        <v>-6.1000000000000004E-3</v>
      </c>
      <c r="I591" s="140">
        <v>-8.3999999999999995E-3</v>
      </c>
    </row>
    <row r="592" spans="1:9" x14ac:dyDescent="0.25">
      <c r="A592">
        <v>375</v>
      </c>
      <c r="B592" t="s">
        <v>692</v>
      </c>
      <c r="C592" t="s">
        <v>167</v>
      </c>
      <c r="D592" t="s">
        <v>63</v>
      </c>
      <c r="E592" t="s">
        <v>94</v>
      </c>
      <c r="F592" t="s">
        <v>693</v>
      </c>
      <c r="G592" s="78" t="s">
        <v>873</v>
      </c>
      <c r="H592" s="140">
        <v>-1.0049592248117871E-2</v>
      </c>
      <c r="I592" s="140">
        <v>-9.1999999999999998E-3</v>
      </c>
    </row>
    <row r="593" spans="1:9" x14ac:dyDescent="0.25">
      <c r="A593">
        <v>793</v>
      </c>
      <c r="B593" t="s">
        <v>699</v>
      </c>
      <c r="C593" t="s">
        <v>167</v>
      </c>
      <c r="D593" t="s">
        <v>63</v>
      </c>
      <c r="E593" t="s">
        <v>94</v>
      </c>
      <c r="F593" t="s">
        <v>693</v>
      </c>
      <c r="G593" s="78" t="s">
        <v>875</v>
      </c>
      <c r="H593" s="140">
        <v>-5.4999999999999997E-3</v>
      </c>
      <c r="I593" s="140">
        <v>-5.7000000000000002E-3</v>
      </c>
    </row>
    <row r="594" spans="1:9" x14ac:dyDescent="0.25">
      <c r="A594">
        <v>376</v>
      </c>
      <c r="B594" t="s">
        <v>693</v>
      </c>
      <c r="C594" t="s">
        <v>167</v>
      </c>
      <c r="D594" t="s">
        <v>63</v>
      </c>
      <c r="E594" t="s">
        <v>94</v>
      </c>
      <c r="F594" t="s">
        <v>693</v>
      </c>
      <c r="G594" s="78" t="s">
        <v>875</v>
      </c>
      <c r="H594" s="140">
        <v>-3.8E-3</v>
      </c>
      <c r="I594" s="140">
        <v>-6.1000000000000004E-3</v>
      </c>
    </row>
    <row r="595" spans="1:9" x14ac:dyDescent="0.25">
      <c r="A595">
        <v>608</v>
      </c>
      <c r="B595" t="s">
        <v>695</v>
      </c>
      <c r="C595" t="s">
        <v>167</v>
      </c>
      <c r="D595" t="s">
        <v>63</v>
      </c>
      <c r="E595" t="s">
        <v>94</v>
      </c>
      <c r="F595" t="s">
        <v>693</v>
      </c>
      <c r="G595" s="78" t="s">
        <v>872</v>
      </c>
      <c r="H595" s="140">
        <v>-1.17E-2</v>
      </c>
      <c r="I595" s="140">
        <v>-6.1999999999999998E-3</v>
      </c>
    </row>
    <row r="596" spans="1:9" x14ac:dyDescent="0.25">
      <c r="A596">
        <v>662</v>
      </c>
      <c r="B596" t="s">
        <v>696</v>
      </c>
      <c r="C596" t="s">
        <v>167</v>
      </c>
      <c r="D596" t="s">
        <v>63</v>
      </c>
      <c r="E596" t="s">
        <v>94</v>
      </c>
      <c r="F596" t="s">
        <v>693</v>
      </c>
      <c r="G596" s="78" t="s">
        <v>872</v>
      </c>
      <c r="H596" s="140">
        <v>-5.4007931301767124E-3</v>
      </c>
      <c r="I596" s="140">
        <v>-5.7000000000000002E-3</v>
      </c>
    </row>
    <row r="597" spans="1:9" x14ac:dyDescent="0.25">
      <c r="A597">
        <v>704</v>
      </c>
      <c r="B597" t="s">
        <v>698</v>
      </c>
      <c r="C597" t="s">
        <v>167</v>
      </c>
      <c r="D597" t="s">
        <v>63</v>
      </c>
      <c r="E597" t="s">
        <v>94</v>
      </c>
      <c r="F597" t="s">
        <v>693</v>
      </c>
      <c r="G597" s="78" t="s">
        <v>875</v>
      </c>
      <c r="H597" s="140">
        <v>-4.7999999999999996E-3</v>
      </c>
      <c r="I597" s="140">
        <v>-5.4999999999999997E-3</v>
      </c>
    </row>
    <row r="598" spans="1:9" x14ac:dyDescent="0.25">
      <c r="A598">
        <v>3040</v>
      </c>
      <c r="B598" t="s">
        <v>706</v>
      </c>
      <c r="C598" t="s">
        <v>66</v>
      </c>
      <c r="D598" t="s">
        <v>63</v>
      </c>
      <c r="E598" t="s">
        <v>94</v>
      </c>
      <c r="F598" t="s">
        <v>703</v>
      </c>
      <c r="G598" s="78" t="s">
        <v>875</v>
      </c>
      <c r="H598" s="140">
        <v>-1.9222662849035174E-3</v>
      </c>
      <c r="I598" s="140">
        <v>-3.4500000000000004E-3</v>
      </c>
    </row>
    <row r="599" spans="1:9" x14ac:dyDescent="0.25">
      <c r="A599">
        <v>778</v>
      </c>
      <c r="B599" t="s">
        <v>711</v>
      </c>
      <c r="C599" t="s">
        <v>167</v>
      </c>
      <c r="D599" t="s">
        <v>63</v>
      </c>
      <c r="E599" t="s">
        <v>94</v>
      </c>
      <c r="F599" t="s">
        <v>703</v>
      </c>
      <c r="G599" s="78" t="s">
        <v>875</v>
      </c>
      <c r="H599" s="140">
        <v>-3.0000000000000001E-3</v>
      </c>
      <c r="I599" s="140">
        <v>-4.8999999999999998E-3</v>
      </c>
    </row>
    <row r="600" spans="1:9" x14ac:dyDescent="0.25">
      <c r="A600">
        <v>1161</v>
      </c>
      <c r="B600" t="s">
        <v>899</v>
      </c>
      <c r="C600" t="s">
        <v>167</v>
      </c>
      <c r="D600" t="s">
        <v>63</v>
      </c>
      <c r="E600" t="s">
        <v>94</v>
      </c>
      <c r="F600" t="s">
        <v>703</v>
      </c>
      <c r="G600" s="78" t="s">
        <v>874</v>
      </c>
      <c r="H600" s="140" t="s">
        <v>876</v>
      </c>
      <c r="I600" s="140"/>
    </row>
    <row r="601" spans="1:9" x14ac:dyDescent="0.25">
      <c r="A601">
        <v>212</v>
      </c>
      <c r="B601" t="s">
        <v>704</v>
      </c>
      <c r="C601" t="s">
        <v>167</v>
      </c>
      <c r="D601" t="s">
        <v>63</v>
      </c>
      <c r="E601" t="s">
        <v>94</v>
      </c>
      <c r="F601" t="s">
        <v>703</v>
      </c>
      <c r="G601" s="78" t="s">
        <v>875</v>
      </c>
      <c r="H601" s="140">
        <v>-4.3E-3</v>
      </c>
      <c r="I601" s="140">
        <v>-6.6E-3</v>
      </c>
    </row>
    <row r="602" spans="1:9" x14ac:dyDescent="0.25">
      <c r="A602">
        <v>284</v>
      </c>
      <c r="B602" t="s">
        <v>705</v>
      </c>
      <c r="C602" t="s">
        <v>167</v>
      </c>
      <c r="D602" t="s">
        <v>63</v>
      </c>
      <c r="E602" t="s">
        <v>94</v>
      </c>
      <c r="F602" t="s">
        <v>703</v>
      </c>
      <c r="G602" s="78" t="s">
        <v>873</v>
      </c>
      <c r="H602" s="140">
        <v>-1.1032410365201643E-2</v>
      </c>
      <c r="I602" s="140">
        <v>-1.1256047032421295E-2</v>
      </c>
    </row>
    <row r="603" spans="1:9" s="31" customFormat="1" x14ac:dyDescent="0.25">
      <c r="A603" s="31">
        <v>285</v>
      </c>
      <c r="B603" s="31" t="s">
        <v>706</v>
      </c>
      <c r="C603" s="31" t="s">
        <v>167</v>
      </c>
      <c r="D603" s="31" t="s">
        <v>63</v>
      </c>
      <c r="E603" s="31" t="s">
        <v>94</v>
      </c>
      <c r="F603" s="31" t="s">
        <v>703</v>
      </c>
      <c r="G603" s="78" t="s">
        <v>873</v>
      </c>
      <c r="H603" s="140">
        <v>-5.9194750650597627E-3</v>
      </c>
      <c r="I603" s="140">
        <v>-6.4000000000000003E-3</v>
      </c>
    </row>
    <row r="604" spans="1:9" x14ac:dyDescent="0.25">
      <c r="A604">
        <v>289</v>
      </c>
      <c r="B604" t="s">
        <v>707</v>
      </c>
      <c r="C604" t="s">
        <v>167</v>
      </c>
      <c r="D604" t="s">
        <v>63</v>
      </c>
      <c r="E604" t="s">
        <v>94</v>
      </c>
      <c r="F604" t="s">
        <v>703</v>
      </c>
      <c r="G604" s="78" t="s">
        <v>873</v>
      </c>
      <c r="H604" s="140">
        <v>-1.3637843493829797E-2</v>
      </c>
      <c r="I604" s="140">
        <v>-1.3108482684660803E-2</v>
      </c>
    </row>
    <row r="605" spans="1:9" x14ac:dyDescent="0.25">
      <c r="A605">
        <v>683</v>
      </c>
      <c r="B605" t="s">
        <v>710</v>
      </c>
      <c r="C605" t="s">
        <v>167</v>
      </c>
      <c r="D605" t="s">
        <v>63</v>
      </c>
      <c r="E605" t="s">
        <v>94</v>
      </c>
      <c r="F605" t="s">
        <v>703</v>
      </c>
      <c r="G605" s="78" t="s">
        <v>872</v>
      </c>
      <c r="H605" s="140">
        <v>-1.0699999999999999E-2</v>
      </c>
      <c r="I605" s="140">
        <v>-1.12E-2</v>
      </c>
    </row>
    <row r="606" spans="1:9" x14ac:dyDescent="0.25">
      <c r="A606">
        <v>1115</v>
      </c>
      <c r="B606" t="s">
        <v>712</v>
      </c>
      <c r="C606" t="s">
        <v>167</v>
      </c>
      <c r="D606" t="s">
        <v>63</v>
      </c>
      <c r="E606" t="s">
        <v>94</v>
      </c>
      <c r="F606" t="s">
        <v>703</v>
      </c>
      <c r="G606" s="78" t="s">
        <v>872</v>
      </c>
      <c r="H606" s="140">
        <v>-9.9000000000000008E-3</v>
      </c>
      <c r="I606" s="140">
        <v>-1.2999999999999999E-2</v>
      </c>
    </row>
    <row r="607" spans="1:9" x14ac:dyDescent="0.25">
      <c r="A607">
        <v>211</v>
      </c>
      <c r="B607" t="s">
        <v>702</v>
      </c>
      <c r="C607" t="s">
        <v>167</v>
      </c>
      <c r="D607" t="s">
        <v>63</v>
      </c>
      <c r="E607" t="s">
        <v>94</v>
      </c>
      <c r="F607" t="s">
        <v>703</v>
      </c>
      <c r="G607" s="78" t="s">
        <v>872</v>
      </c>
      <c r="H607" s="140">
        <v>-8.9999999999999993E-3</v>
      </c>
      <c r="I607" s="140">
        <v>-8.6E-3</v>
      </c>
    </row>
    <row r="608" spans="1:9" x14ac:dyDescent="0.25">
      <c r="A608">
        <v>321</v>
      </c>
      <c r="B608" t="s">
        <v>708</v>
      </c>
      <c r="C608" t="s">
        <v>167</v>
      </c>
      <c r="D608" t="s">
        <v>63</v>
      </c>
      <c r="E608" t="s">
        <v>94</v>
      </c>
      <c r="F608" t="s">
        <v>703</v>
      </c>
      <c r="G608" s="78" t="s">
        <v>872</v>
      </c>
      <c r="H608" s="140">
        <v>-1.0699999999999999E-2</v>
      </c>
      <c r="I608" s="140">
        <v>-9.4000000000000004E-3</v>
      </c>
    </row>
    <row r="609" spans="1:9" x14ac:dyDescent="0.25">
      <c r="A609">
        <v>327</v>
      </c>
      <c r="B609" t="s">
        <v>709</v>
      </c>
      <c r="C609" t="s">
        <v>167</v>
      </c>
      <c r="D609" t="s">
        <v>63</v>
      </c>
      <c r="E609" t="s">
        <v>94</v>
      </c>
      <c r="F609" t="s">
        <v>703</v>
      </c>
      <c r="G609" s="78" t="s">
        <v>872</v>
      </c>
      <c r="H609" s="140">
        <v>-1.2289970143022463E-2</v>
      </c>
      <c r="I609" s="140">
        <v>-1.1933091693649112E-2</v>
      </c>
    </row>
    <row r="610" spans="1:9" x14ac:dyDescent="0.25">
      <c r="A610">
        <v>1016</v>
      </c>
      <c r="B610" t="s">
        <v>700</v>
      </c>
      <c r="C610" t="s">
        <v>167</v>
      </c>
      <c r="D610" t="s">
        <v>63</v>
      </c>
      <c r="E610" t="s">
        <v>94</v>
      </c>
      <c r="F610" t="s">
        <v>714</v>
      </c>
      <c r="G610" s="78" t="s">
        <v>875</v>
      </c>
      <c r="H610" s="140">
        <v>-3.3E-3</v>
      </c>
      <c r="I610" s="140">
        <v>-4.1999999999999997E-3</v>
      </c>
    </row>
    <row r="611" spans="1:9" x14ac:dyDescent="0.25">
      <c r="A611">
        <v>1040</v>
      </c>
      <c r="B611" t="s">
        <v>718</v>
      </c>
      <c r="C611" t="s">
        <v>167</v>
      </c>
      <c r="D611" t="s">
        <v>63</v>
      </c>
      <c r="E611" t="s">
        <v>94</v>
      </c>
      <c r="F611" t="s">
        <v>714</v>
      </c>
      <c r="G611" s="78" t="s">
        <v>875</v>
      </c>
      <c r="H611" s="140">
        <v>-3.2000000000000002E-3</v>
      </c>
      <c r="I611" s="140">
        <v>-3.8999999999999998E-3</v>
      </c>
    </row>
    <row r="612" spans="1:9" x14ac:dyDescent="0.25">
      <c r="A612">
        <v>1044</v>
      </c>
      <c r="B612" t="s">
        <v>719</v>
      </c>
      <c r="C612" t="s">
        <v>167</v>
      </c>
      <c r="D612" t="s">
        <v>63</v>
      </c>
      <c r="E612" t="s">
        <v>94</v>
      </c>
      <c r="F612" t="s">
        <v>714</v>
      </c>
      <c r="G612" s="78" t="s">
        <v>874</v>
      </c>
      <c r="H612" s="140">
        <v>-4.8977995696645182E-3</v>
      </c>
      <c r="I612" s="140">
        <v>-4.8977995696645182E-3</v>
      </c>
    </row>
    <row r="613" spans="1:9" x14ac:dyDescent="0.25">
      <c r="A613">
        <v>399</v>
      </c>
      <c r="B613" t="s">
        <v>715</v>
      </c>
      <c r="C613" t="s">
        <v>167</v>
      </c>
      <c r="D613" t="s">
        <v>63</v>
      </c>
      <c r="E613" t="s">
        <v>94</v>
      </c>
      <c r="F613" t="s">
        <v>714</v>
      </c>
      <c r="G613" s="78" t="s">
        <v>875</v>
      </c>
      <c r="H613" s="140">
        <v>-6.1000000000000004E-3</v>
      </c>
      <c r="I613" s="140">
        <v>-6.4000000000000003E-3</v>
      </c>
    </row>
    <row r="614" spans="1:9" x14ac:dyDescent="0.25">
      <c r="A614">
        <v>784</v>
      </c>
      <c r="B614" t="s">
        <v>717</v>
      </c>
      <c r="C614" t="s">
        <v>167</v>
      </c>
      <c r="D614" t="s">
        <v>63</v>
      </c>
      <c r="E614" t="s">
        <v>94</v>
      </c>
      <c r="F614" t="s">
        <v>714</v>
      </c>
      <c r="G614" s="78" t="s">
        <v>872</v>
      </c>
      <c r="H614" s="140">
        <v>-1.21E-2</v>
      </c>
      <c r="I614" s="140">
        <v>-1.2999999999999999E-2</v>
      </c>
    </row>
    <row r="615" spans="1:9" x14ac:dyDescent="0.25">
      <c r="A615">
        <v>1087</v>
      </c>
      <c r="B615" t="s">
        <v>720</v>
      </c>
      <c r="C615" t="s">
        <v>167</v>
      </c>
      <c r="D615" t="s">
        <v>63</v>
      </c>
      <c r="E615" t="s">
        <v>94</v>
      </c>
      <c r="F615" t="s">
        <v>714</v>
      </c>
      <c r="G615" s="78" t="s">
        <v>872</v>
      </c>
      <c r="H615" s="140">
        <v>-1.49E-2</v>
      </c>
      <c r="I615" s="140">
        <v>-1.29E-2</v>
      </c>
    </row>
    <row r="616" spans="1:9" x14ac:dyDescent="0.25">
      <c r="A616">
        <v>1098</v>
      </c>
      <c r="B616" t="s">
        <v>721</v>
      </c>
      <c r="C616" t="s">
        <v>167</v>
      </c>
      <c r="D616" t="s">
        <v>63</v>
      </c>
      <c r="E616" t="s">
        <v>94</v>
      </c>
      <c r="F616" t="s">
        <v>714</v>
      </c>
      <c r="G616" s="78" t="s">
        <v>873</v>
      </c>
      <c r="H616" s="140">
        <v>-1.8599999999999998E-2</v>
      </c>
      <c r="I616" s="140">
        <v>-1.2999999999999999E-2</v>
      </c>
    </row>
    <row r="617" spans="1:9" x14ac:dyDescent="0.25">
      <c r="A617">
        <v>386</v>
      </c>
      <c r="B617" t="s">
        <v>713</v>
      </c>
      <c r="C617" t="s">
        <v>167</v>
      </c>
      <c r="D617" t="s">
        <v>63</v>
      </c>
      <c r="E617" t="s">
        <v>94</v>
      </c>
      <c r="F617" t="s">
        <v>714</v>
      </c>
      <c r="G617" s="78" t="s">
        <v>872</v>
      </c>
      <c r="H617" s="140">
        <v>9.5387869162360042E-4</v>
      </c>
      <c r="I617" s="140">
        <v>-6.0000000000000001E-3</v>
      </c>
    </row>
    <row r="618" spans="1:9" x14ac:dyDescent="0.25">
      <c r="A618">
        <v>610</v>
      </c>
      <c r="B618" t="s">
        <v>716</v>
      </c>
      <c r="C618" t="s">
        <v>167</v>
      </c>
      <c r="D618" t="s">
        <v>63</v>
      </c>
      <c r="E618" t="s">
        <v>94</v>
      </c>
      <c r="F618" t="s">
        <v>714</v>
      </c>
      <c r="G618" s="78" t="s">
        <v>872</v>
      </c>
      <c r="H618" s="140">
        <v>-8.308603921334581E-3</v>
      </c>
      <c r="I618" s="140">
        <v>-8.2184287384282559E-3</v>
      </c>
    </row>
    <row r="619" spans="1:9" x14ac:dyDescent="0.25">
      <c r="A619">
        <v>3057</v>
      </c>
      <c r="B619" t="s">
        <v>732</v>
      </c>
      <c r="C619" t="s">
        <v>66</v>
      </c>
      <c r="D619" t="s">
        <v>63</v>
      </c>
      <c r="E619" t="s">
        <v>94</v>
      </c>
      <c r="F619" t="s">
        <v>723</v>
      </c>
      <c r="G619" s="78" t="s">
        <v>875</v>
      </c>
      <c r="H619" s="140">
        <v>-2.8247343079236403E-3</v>
      </c>
      <c r="I619" s="140">
        <v>-3.4500000000000004E-3</v>
      </c>
    </row>
    <row r="620" spans="1:9" x14ac:dyDescent="0.25">
      <c r="A620">
        <v>3058</v>
      </c>
      <c r="B620" t="s">
        <v>729</v>
      </c>
      <c r="C620" t="s">
        <v>66</v>
      </c>
      <c r="D620" t="s">
        <v>63</v>
      </c>
      <c r="E620" t="s">
        <v>94</v>
      </c>
      <c r="F620" t="s">
        <v>723</v>
      </c>
      <c r="G620" s="78" t="s">
        <v>875</v>
      </c>
      <c r="H620" s="140">
        <v>-1.0379155692246879E-3</v>
      </c>
      <c r="I620" s="140">
        <v>-3.5500000000000002E-3</v>
      </c>
    </row>
    <row r="621" spans="1:9" x14ac:dyDescent="0.25">
      <c r="A621">
        <v>1109</v>
      </c>
      <c r="B621" t="s">
        <v>731</v>
      </c>
      <c r="C621" t="s">
        <v>167</v>
      </c>
      <c r="D621" t="s">
        <v>63</v>
      </c>
      <c r="E621" t="s">
        <v>94</v>
      </c>
      <c r="F621" t="s">
        <v>723</v>
      </c>
      <c r="G621" s="78" t="s">
        <v>874</v>
      </c>
      <c r="H621" s="140">
        <v>-8.7923648473491271E-3</v>
      </c>
      <c r="I621" s="140">
        <v>-8.7923648473491288E-3</v>
      </c>
    </row>
    <row r="622" spans="1:9" x14ac:dyDescent="0.25">
      <c r="A622">
        <v>1213</v>
      </c>
      <c r="B622" t="s">
        <v>900</v>
      </c>
      <c r="C622" t="s">
        <v>167</v>
      </c>
      <c r="D622" t="s">
        <v>63</v>
      </c>
      <c r="E622" t="s">
        <v>94</v>
      </c>
      <c r="F622" t="s">
        <v>723</v>
      </c>
      <c r="G622" s="78" t="s">
        <v>874</v>
      </c>
      <c r="H622" s="140" t="s">
        <v>876</v>
      </c>
      <c r="I622" s="140"/>
    </row>
    <row r="623" spans="1:9" x14ac:dyDescent="0.25">
      <c r="A623">
        <v>629</v>
      </c>
      <c r="B623" t="s">
        <v>722</v>
      </c>
      <c r="C623" t="s">
        <v>167</v>
      </c>
      <c r="D623" t="s">
        <v>63</v>
      </c>
      <c r="E623" t="s">
        <v>94</v>
      </c>
      <c r="F623" t="s">
        <v>723</v>
      </c>
      <c r="G623" s="78" t="s">
        <v>875</v>
      </c>
      <c r="H623" s="140">
        <v>-2E-3</v>
      </c>
      <c r="I623" s="140">
        <v>-1.0999999999999999E-2</v>
      </c>
    </row>
    <row r="624" spans="1:9" x14ac:dyDescent="0.25">
      <c r="A624">
        <v>1000</v>
      </c>
      <c r="B624" t="s">
        <v>724</v>
      </c>
      <c r="C624" t="s">
        <v>167</v>
      </c>
      <c r="D624" t="s">
        <v>63</v>
      </c>
      <c r="E624" t="s">
        <v>94</v>
      </c>
      <c r="F624" t="s">
        <v>723</v>
      </c>
      <c r="G624" s="78" t="s">
        <v>875</v>
      </c>
      <c r="H624" s="140">
        <v>-7.1000000000000004E-3</v>
      </c>
      <c r="I624" s="140">
        <v>-1.2999999999999999E-2</v>
      </c>
    </row>
    <row r="625" spans="1:9" s="31" customFormat="1" x14ac:dyDescent="0.25">
      <c r="A625" s="31">
        <v>1001</v>
      </c>
      <c r="B625" s="31" t="s">
        <v>725</v>
      </c>
      <c r="C625" s="31" t="s">
        <v>167</v>
      </c>
      <c r="D625" s="31" t="s">
        <v>63</v>
      </c>
      <c r="E625" s="31" t="s">
        <v>94</v>
      </c>
      <c r="F625" s="31" t="s">
        <v>723</v>
      </c>
      <c r="G625" s="78" t="s">
        <v>873</v>
      </c>
      <c r="H625" s="140">
        <v>-1.7459631469558288E-2</v>
      </c>
      <c r="I625" s="140">
        <v>-1.4500000000000001E-2</v>
      </c>
    </row>
    <row r="626" spans="1:9" x14ac:dyDescent="0.25">
      <c r="A626">
        <v>1022</v>
      </c>
      <c r="B626" t="s">
        <v>726</v>
      </c>
      <c r="C626" t="s">
        <v>167</v>
      </c>
      <c r="D626" t="s">
        <v>63</v>
      </c>
      <c r="E626" t="s">
        <v>94</v>
      </c>
      <c r="F626" t="s">
        <v>723</v>
      </c>
      <c r="G626" s="78" t="s">
        <v>873</v>
      </c>
      <c r="H626" s="140">
        <v>-1.0598062616477272E-2</v>
      </c>
      <c r="I626" s="140">
        <v>-1.0999999999999999E-2</v>
      </c>
    </row>
    <row r="627" spans="1:9" x14ac:dyDescent="0.25">
      <c r="A627">
        <v>1079</v>
      </c>
      <c r="B627" t="s">
        <v>727</v>
      </c>
      <c r="C627" t="s">
        <v>167</v>
      </c>
      <c r="D627" t="s">
        <v>63</v>
      </c>
      <c r="E627" t="s">
        <v>94</v>
      </c>
      <c r="F627" t="s">
        <v>723</v>
      </c>
      <c r="G627" s="78" t="s">
        <v>873</v>
      </c>
      <c r="H627" s="140">
        <v>-8.9515566009303743E-3</v>
      </c>
      <c r="I627" s="140">
        <v>-1.2435160814876041E-2</v>
      </c>
    </row>
    <row r="628" spans="1:9" x14ac:dyDescent="0.25">
      <c r="A628">
        <v>1080</v>
      </c>
      <c r="B628" t="s">
        <v>728</v>
      </c>
      <c r="C628" t="s">
        <v>167</v>
      </c>
      <c r="D628" t="s">
        <v>63</v>
      </c>
      <c r="E628" t="s">
        <v>94</v>
      </c>
      <c r="F628" t="s">
        <v>723</v>
      </c>
      <c r="G628" s="78" t="s">
        <v>875</v>
      </c>
      <c r="H628" s="140">
        <v>-6.8999999999999999E-3</v>
      </c>
      <c r="I628" s="140">
        <v>-1.2E-2</v>
      </c>
    </row>
    <row r="629" spans="1:9" x14ac:dyDescent="0.25">
      <c r="A629">
        <v>1081</v>
      </c>
      <c r="B629" t="s">
        <v>729</v>
      </c>
      <c r="C629" t="s">
        <v>167</v>
      </c>
      <c r="D629" t="s">
        <v>63</v>
      </c>
      <c r="E629" t="s">
        <v>94</v>
      </c>
      <c r="F629" t="s">
        <v>723</v>
      </c>
      <c r="G629" s="78" t="s">
        <v>875</v>
      </c>
      <c r="H629" s="140">
        <v>-5.0000000000000001E-3</v>
      </c>
      <c r="I629" s="140">
        <v>-1.18E-2</v>
      </c>
    </row>
    <row r="630" spans="1:9" x14ac:dyDescent="0.25">
      <c r="A630">
        <v>1082</v>
      </c>
      <c r="B630" t="s">
        <v>730</v>
      </c>
      <c r="C630" t="s">
        <v>167</v>
      </c>
      <c r="D630" t="s">
        <v>63</v>
      </c>
      <c r="E630" t="s">
        <v>94</v>
      </c>
      <c r="F630" t="s">
        <v>723</v>
      </c>
      <c r="G630" s="78" t="s">
        <v>875</v>
      </c>
      <c r="H630" s="140">
        <v>-5.4999999999999997E-3</v>
      </c>
      <c r="I630" s="140">
        <v>-1.2999999999999999E-2</v>
      </c>
    </row>
    <row r="631" spans="1:9" x14ac:dyDescent="0.25">
      <c r="A631">
        <v>3045</v>
      </c>
      <c r="B631" t="s">
        <v>674</v>
      </c>
      <c r="C631" t="s">
        <v>66</v>
      </c>
      <c r="D631" t="s">
        <v>63</v>
      </c>
      <c r="E631" t="s">
        <v>94</v>
      </c>
      <c r="F631" t="s">
        <v>734</v>
      </c>
      <c r="G631" s="78" t="s">
        <v>875</v>
      </c>
      <c r="H631" s="140">
        <v>-2.7958338069929332E-3</v>
      </c>
      <c r="I631" s="140">
        <v>-3.7500000000000003E-3</v>
      </c>
    </row>
    <row r="632" spans="1:9" x14ac:dyDescent="0.25">
      <c r="A632">
        <v>3046</v>
      </c>
      <c r="B632" t="s">
        <v>743</v>
      </c>
      <c r="C632" t="s">
        <v>66</v>
      </c>
      <c r="D632" t="s">
        <v>63</v>
      </c>
      <c r="E632" t="s">
        <v>94</v>
      </c>
      <c r="F632" t="s">
        <v>734</v>
      </c>
      <c r="G632" s="78" t="s">
        <v>873</v>
      </c>
      <c r="H632" s="140">
        <v>-8.6168498696363293E-3</v>
      </c>
      <c r="I632" s="140">
        <v>-7.4000000000000003E-3</v>
      </c>
    </row>
    <row r="633" spans="1:9" x14ac:dyDescent="0.25">
      <c r="A633">
        <v>743</v>
      </c>
      <c r="B633" t="s">
        <v>737</v>
      </c>
      <c r="C633" t="s">
        <v>167</v>
      </c>
      <c r="D633" t="s">
        <v>63</v>
      </c>
      <c r="E633" t="s">
        <v>94</v>
      </c>
      <c r="F633" t="s">
        <v>734</v>
      </c>
      <c r="G633" s="78" t="s">
        <v>875</v>
      </c>
      <c r="H633" s="140">
        <v>-3.8E-3</v>
      </c>
      <c r="I633" s="140">
        <v>-6.7000000000000002E-3</v>
      </c>
    </row>
    <row r="634" spans="1:9" x14ac:dyDescent="0.25">
      <c r="A634">
        <v>1129</v>
      </c>
      <c r="B634" t="s">
        <v>742</v>
      </c>
      <c r="C634" t="s">
        <v>167</v>
      </c>
      <c r="D634" t="s">
        <v>63</v>
      </c>
      <c r="E634" t="s">
        <v>94</v>
      </c>
      <c r="F634" t="s">
        <v>734</v>
      </c>
      <c r="G634" s="78" t="s">
        <v>874</v>
      </c>
      <c r="H634" s="140">
        <v>-6.1229638591366068E-3</v>
      </c>
      <c r="I634" s="140">
        <v>-6.1229638591366068E-3</v>
      </c>
    </row>
    <row r="635" spans="1:9" x14ac:dyDescent="0.25">
      <c r="A635">
        <v>1216</v>
      </c>
      <c r="B635" t="s">
        <v>901</v>
      </c>
      <c r="C635" t="s">
        <v>167</v>
      </c>
      <c r="D635" t="s">
        <v>63</v>
      </c>
      <c r="E635" t="s">
        <v>94</v>
      </c>
      <c r="F635" t="s">
        <v>734</v>
      </c>
      <c r="G635" s="78" t="s">
        <v>874</v>
      </c>
      <c r="H635" s="140" t="s">
        <v>876</v>
      </c>
      <c r="I635" s="140"/>
    </row>
    <row r="636" spans="1:9" x14ac:dyDescent="0.25">
      <c r="A636">
        <v>3047</v>
      </c>
      <c r="B636" t="s">
        <v>744</v>
      </c>
      <c r="C636" t="s">
        <v>66</v>
      </c>
      <c r="D636" t="s">
        <v>63</v>
      </c>
      <c r="E636" t="s">
        <v>94</v>
      </c>
      <c r="F636" t="s">
        <v>734</v>
      </c>
      <c r="G636" s="78" t="s">
        <v>872</v>
      </c>
      <c r="H636" s="140">
        <v>-9.4000000000000004E-3</v>
      </c>
      <c r="I636" s="140">
        <v>-6.4000000000000003E-3</v>
      </c>
    </row>
    <row r="637" spans="1:9" x14ac:dyDescent="0.25">
      <c r="A637">
        <v>3066</v>
      </c>
      <c r="B637" t="s">
        <v>745</v>
      </c>
      <c r="C637" t="s">
        <v>66</v>
      </c>
      <c r="D637" t="s">
        <v>63</v>
      </c>
      <c r="E637" t="s">
        <v>94</v>
      </c>
      <c r="F637" t="s">
        <v>734</v>
      </c>
      <c r="G637" s="78" t="s">
        <v>872</v>
      </c>
      <c r="H637" s="140">
        <v>-5.1944842023294493E-3</v>
      </c>
      <c r="I637" s="140">
        <v>-5.1000000000000004E-3</v>
      </c>
    </row>
    <row r="638" spans="1:9" x14ac:dyDescent="0.25">
      <c r="A638">
        <v>755</v>
      </c>
      <c r="B638" t="s">
        <v>738</v>
      </c>
      <c r="C638" t="s">
        <v>167</v>
      </c>
      <c r="D638" t="s">
        <v>63</v>
      </c>
      <c r="E638" t="s">
        <v>94</v>
      </c>
      <c r="F638" t="s">
        <v>734</v>
      </c>
      <c r="G638" s="78" t="s">
        <v>873</v>
      </c>
      <c r="H638" s="140">
        <v>-1.0387397182734433E-2</v>
      </c>
      <c r="I638" s="140">
        <v>-9.9468234910406652E-3</v>
      </c>
    </row>
    <row r="639" spans="1:9" x14ac:dyDescent="0.25">
      <c r="A639">
        <v>1113</v>
      </c>
      <c r="B639" t="s">
        <v>741</v>
      </c>
      <c r="C639" t="s">
        <v>167</v>
      </c>
      <c r="D639" t="s">
        <v>63</v>
      </c>
      <c r="E639" t="s">
        <v>94</v>
      </c>
      <c r="F639" t="s">
        <v>734</v>
      </c>
      <c r="G639" s="78" t="s">
        <v>872</v>
      </c>
      <c r="H639" s="140">
        <v>-8.5000000000000006E-3</v>
      </c>
      <c r="I639" s="140">
        <v>-1.2999999999999999E-2</v>
      </c>
    </row>
    <row r="640" spans="1:9" x14ac:dyDescent="0.25">
      <c r="A640">
        <v>347</v>
      </c>
      <c r="B640" t="s">
        <v>733</v>
      </c>
      <c r="C640" t="s">
        <v>167</v>
      </c>
      <c r="D640" t="s">
        <v>63</v>
      </c>
      <c r="E640" t="s">
        <v>94</v>
      </c>
      <c r="F640" t="s">
        <v>734</v>
      </c>
      <c r="G640" s="78" t="s">
        <v>875</v>
      </c>
      <c r="H640" s="140">
        <v>-6.1999999999999998E-3</v>
      </c>
      <c r="I640" s="140">
        <v>-7.0000000000000001E-3</v>
      </c>
    </row>
    <row r="641" spans="1:9" x14ac:dyDescent="0.25">
      <c r="A641">
        <v>717</v>
      </c>
      <c r="B641" t="s">
        <v>735</v>
      </c>
      <c r="C641" t="s">
        <v>167</v>
      </c>
      <c r="D641" t="s">
        <v>63</v>
      </c>
      <c r="E641" t="s">
        <v>94</v>
      </c>
      <c r="F641" t="s">
        <v>734</v>
      </c>
      <c r="G641" s="78" t="s">
        <v>872</v>
      </c>
      <c r="H641" s="140">
        <v>-5.9654992884695199E-3</v>
      </c>
      <c r="I641" s="140">
        <v>-6.3445792874499652E-3</v>
      </c>
    </row>
    <row r="642" spans="1:9" x14ac:dyDescent="0.25">
      <c r="A642">
        <v>718</v>
      </c>
      <c r="B642" t="s">
        <v>736</v>
      </c>
      <c r="C642" t="s">
        <v>167</v>
      </c>
      <c r="D642" t="s">
        <v>63</v>
      </c>
      <c r="E642" t="s">
        <v>94</v>
      </c>
      <c r="F642" t="s">
        <v>734</v>
      </c>
      <c r="G642" s="78" t="s">
        <v>872</v>
      </c>
      <c r="H642" s="140">
        <v>-4.5962056636958005E-3</v>
      </c>
      <c r="I642" s="140">
        <v>-5.0796385006157052E-3</v>
      </c>
    </row>
    <row r="643" spans="1:9" x14ac:dyDescent="0.25">
      <c r="A643">
        <v>764</v>
      </c>
      <c r="B643" t="s">
        <v>739</v>
      </c>
      <c r="C643" t="s">
        <v>167</v>
      </c>
      <c r="D643" t="s">
        <v>63</v>
      </c>
      <c r="E643" t="s">
        <v>94</v>
      </c>
      <c r="F643" t="s">
        <v>734</v>
      </c>
      <c r="G643" s="78" t="s">
        <v>872</v>
      </c>
      <c r="H643" s="140">
        <v>-1.3852495470621773E-3</v>
      </c>
      <c r="I643" s="140">
        <v>-4.4999999999999997E-3</v>
      </c>
    </row>
    <row r="644" spans="1:9" s="31" customFormat="1" x14ac:dyDescent="0.25">
      <c r="A644" s="31">
        <v>795</v>
      </c>
      <c r="B644" s="31" t="s">
        <v>740</v>
      </c>
      <c r="C644" s="31" t="s">
        <v>167</v>
      </c>
      <c r="D644" s="31" t="s">
        <v>63</v>
      </c>
      <c r="E644" s="31" t="s">
        <v>94</v>
      </c>
      <c r="F644" s="31" t="s">
        <v>734</v>
      </c>
      <c r="G644" s="78" t="s">
        <v>872</v>
      </c>
      <c r="H644" s="140">
        <v>-6.9371908625511279E-3</v>
      </c>
      <c r="I644" s="140">
        <v>-6.7610531822327969E-3</v>
      </c>
    </row>
    <row r="645" spans="1:9" x14ac:dyDescent="0.25">
      <c r="A645">
        <v>4500</v>
      </c>
      <c r="B645" t="s">
        <v>861</v>
      </c>
      <c r="C645" t="s">
        <v>864</v>
      </c>
      <c r="D645" t="s">
        <v>864</v>
      </c>
      <c r="E645" t="s">
        <v>113</v>
      </c>
      <c r="F645" t="s">
        <v>113</v>
      </c>
      <c r="G645" s="78" t="s">
        <v>875</v>
      </c>
      <c r="H645" s="140">
        <v>1.7055062087926464E-3</v>
      </c>
      <c r="I645" s="140">
        <v>-4.0000000000000001E-3</v>
      </c>
    </row>
    <row r="646" spans="1:9" x14ac:dyDescent="0.25">
      <c r="A646">
        <v>4501</v>
      </c>
      <c r="B646" t="s">
        <v>420</v>
      </c>
      <c r="C646" t="s">
        <v>864</v>
      </c>
      <c r="D646" t="s">
        <v>864</v>
      </c>
      <c r="E646" t="s">
        <v>113</v>
      </c>
      <c r="F646" t="s">
        <v>113</v>
      </c>
      <c r="G646" s="78" t="s">
        <v>875</v>
      </c>
      <c r="H646" s="140">
        <v>-1.6382248774809368E-3</v>
      </c>
      <c r="I646" s="140">
        <v>-4.0000000000000001E-3</v>
      </c>
    </row>
    <row r="647" spans="1:9" x14ac:dyDescent="0.25">
      <c r="A647">
        <v>4502</v>
      </c>
      <c r="B647" t="s">
        <v>862</v>
      </c>
      <c r="C647" t="s">
        <v>864</v>
      </c>
      <c r="D647" t="s">
        <v>864</v>
      </c>
      <c r="E647" t="s">
        <v>113</v>
      </c>
      <c r="F647" t="s">
        <v>113</v>
      </c>
      <c r="G647" s="78" t="s">
        <v>875</v>
      </c>
      <c r="H647" s="140">
        <v>9.1835079914817687E-3</v>
      </c>
      <c r="I647" s="140">
        <v>-4.0000000000000001E-3</v>
      </c>
    </row>
    <row r="648" spans="1:9" x14ac:dyDescent="0.25">
      <c r="A648">
        <v>613</v>
      </c>
      <c r="B648" t="s">
        <v>369</v>
      </c>
      <c r="C648" t="s">
        <v>167</v>
      </c>
      <c r="D648" t="s">
        <v>63</v>
      </c>
      <c r="E648" t="s">
        <v>63</v>
      </c>
      <c r="F648" t="s">
        <v>747</v>
      </c>
      <c r="G648" s="78" t="s">
        <v>875</v>
      </c>
      <c r="H648" s="140">
        <v>-2.672190429227938E-3</v>
      </c>
      <c r="I648" s="140">
        <v>-4.4999999999999997E-3</v>
      </c>
    </row>
    <row r="649" spans="1:9" x14ac:dyDescent="0.25">
      <c r="A649">
        <v>1103</v>
      </c>
      <c r="B649" t="s">
        <v>753</v>
      </c>
      <c r="C649" t="s">
        <v>167</v>
      </c>
      <c r="D649" t="s">
        <v>63</v>
      </c>
      <c r="E649" t="s">
        <v>63</v>
      </c>
      <c r="F649" t="s">
        <v>747</v>
      </c>
      <c r="G649" s="78" t="s">
        <v>875</v>
      </c>
      <c r="H649" s="140">
        <v>-1.4E-3</v>
      </c>
      <c r="I649" s="140">
        <v>-5.0000000000000001E-3</v>
      </c>
    </row>
    <row r="650" spans="1:9" x14ac:dyDescent="0.25">
      <c r="A650">
        <v>1146</v>
      </c>
      <c r="B650" t="s">
        <v>754</v>
      </c>
      <c r="C650" t="s">
        <v>167</v>
      </c>
      <c r="D650" t="s">
        <v>63</v>
      </c>
      <c r="E650" t="s">
        <v>63</v>
      </c>
      <c r="F650" t="s">
        <v>747</v>
      </c>
      <c r="G650" s="78" t="s">
        <v>874</v>
      </c>
      <c r="H650" s="140">
        <v>-4.2759487683747205E-3</v>
      </c>
      <c r="I650" s="140">
        <v>-4.4999999999999997E-3</v>
      </c>
    </row>
    <row r="651" spans="1:9" x14ac:dyDescent="0.25">
      <c r="A651">
        <v>1271</v>
      </c>
      <c r="B651" t="s">
        <v>902</v>
      </c>
      <c r="C651" t="s">
        <v>167</v>
      </c>
      <c r="D651" t="s">
        <v>63</v>
      </c>
      <c r="E651" t="s">
        <v>63</v>
      </c>
      <c r="F651" t="s">
        <v>747</v>
      </c>
      <c r="G651" s="78" t="s">
        <v>874</v>
      </c>
      <c r="H651" s="140" t="s">
        <v>876</v>
      </c>
      <c r="I651" s="140"/>
    </row>
    <row r="652" spans="1:9" x14ac:dyDescent="0.25">
      <c r="A652">
        <v>132</v>
      </c>
      <c r="B652" t="s">
        <v>366</v>
      </c>
      <c r="C652" t="s">
        <v>167</v>
      </c>
      <c r="D652" t="s">
        <v>63</v>
      </c>
      <c r="E652" t="s">
        <v>63</v>
      </c>
      <c r="F652" t="s">
        <v>747</v>
      </c>
      <c r="G652" s="78" t="s">
        <v>872</v>
      </c>
      <c r="H652" s="140">
        <v>-8.2000000000000007E-3</v>
      </c>
      <c r="I652" s="140">
        <v>-8.3000000000000001E-3</v>
      </c>
    </row>
    <row r="653" spans="1:9" x14ac:dyDescent="0.25">
      <c r="A653">
        <v>133</v>
      </c>
      <c r="B653" t="s">
        <v>746</v>
      </c>
      <c r="C653" t="s">
        <v>167</v>
      </c>
      <c r="D653" t="s">
        <v>63</v>
      </c>
      <c r="E653" t="s">
        <v>63</v>
      </c>
      <c r="F653" t="s">
        <v>747</v>
      </c>
      <c r="G653" s="78" t="s">
        <v>873</v>
      </c>
      <c r="H653" s="140">
        <v>-6.0559030961053421E-3</v>
      </c>
      <c r="I653" s="140">
        <v>-6.4000000000000003E-3</v>
      </c>
    </row>
    <row r="654" spans="1:9" x14ac:dyDescent="0.25">
      <c r="A654">
        <v>135</v>
      </c>
      <c r="B654" t="s">
        <v>748</v>
      </c>
      <c r="C654" t="s">
        <v>167</v>
      </c>
      <c r="D654" t="s">
        <v>63</v>
      </c>
      <c r="E654" t="s">
        <v>63</v>
      </c>
      <c r="F654" t="s">
        <v>747</v>
      </c>
      <c r="G654" s="78" t="s">
        <v>872</v>
      </c>
      <c r="H654" s="140">
        <v>-6.4000000000000003E-3</v>
      </c>
      <c r="I654" s="140">
        <v>-8.5000000000000006E-3</v>
      </c>
    </row>
    <row r="655" spans="1:9" x14ac:dyDescent="0.25">
      <c r="A655">
        <v>1034</v>
      </c>
      <c r="B655" t="s">
        <v>747</v>
      </c>
      <c r="C655" t="s">
        <v>167</v>
      </c>
      <c r="D655" t="s">
        <v>63</v>
      </c>
      <c r="E655" t="s">
        <v>63</v>
      </c>
      <c r="F655" t="s">
        <v>747</v>
      </c>
      <c r="G655" s="78" t="s">
        <v>872</v>
      </c>
      <c r="H655" s="140">
        <v>-8.0000000000000002E-3</v>
      </c>
      <c r="I655" s="140">
        <v>-7.3000000000000001E-3</v>
      </c>
    </row>
    <row r="656" spans="1:9" s="31" customFormat="1" x14ac:dyDescent="0.25">
      <c r="A656" s="31">
        <v>1062</v>
      </c>
      <c r="B656" s="31" t="s">
        <v>751</v>
      </c>
      <c r="C656" s="31" t="s">
        <v>167</v>
      </c>
      <c r="D656" s="31" t="s">
        <v>63</v>
      </c>
      <c r="E656" s="31" t="s">
        <v>63</v>
      </c>
      <c r="F656" s="31" t="s">
        <v>747</v>
      </c>
      <c r="G656" s="78" t="s">
        <v>872</v>
      </c>
      <c r="H656" s="140">
        <v>-1.2316334024031874E-2</v>
      </c>
      <c r="I656" s="140">
        <v>-1.2036218687447177E-2</v>
      </c>
    </row>
    <row r="657" spans="1:9" x14ac:dyDescent="0.25">
      <c r="A657">
        <v>1076</v>
      </c>
      <c r="B657" t="s">
        <v>752</v>
      </c>
      <c r="C657" t="s">
        <v>167</v>
      </c>
      <c r="D657" t="s">
        <v>63</v>
      </c>
      <c r="E657" t="s">
        <v>63</v>
      </c>
      <c r="F657" t="s">
        <v>747</v>
      </c>
      <c r="G657" s="78" t="s">
        <v>872</v>
      </c>
      <c r="H657" s="140">
        <v>-5.0000000000000001E-3</v>
      </c>
      <c r="I657" s="140">
        <v>-4.5999999999999999E-3</v>
      </c>
    </row>
    <row r="658" spans="1:9" x14ac:dyDescent="0.25">
      <c r="A658">
        <v>1116</v>
      </c>
      <c r="B658" t="s">
        <v>747</v>
      </c>
      <c r="C658" t="s">
        <v>167</v>
      </c>
      <c r="D658" t="s">
        <v>63</v>
      </c>
      <c r="E658" t="s">
        <v>63</v>
      </c>
      <c r="F658" t="s">
        <v>747</v>
      </c>
      <c r="G658" s="78" t="s">
        <v>872</v>
      </c>
      <c r="H658" s="140">
        <v>-7.2266145629084379E-3</v>
      </c>
      <c r="I658" s="140">
        <v>-7.2266145629084379E-3</v>
      </c>
    </row>
    <row r="659" spans="1:9" x14ac:dyDescent="0.25">
      <c r="A659">
        <v>1010</v>
      </c>
      <c r="B659" t="s">
        <v>761</v>
      </c>
      <c r="C659" t="s">
        <v>167</v>
      </c>
      <c r="D659" t="s">
        <v>63</v>
      </c>
      <c r="E659" t="s">
        <v>63</v>
      </c>
      <c r="F659" t="s">
        <v>756</v>
      </c>
      <c r="G659" s="78" t="s">
        <v>875</v>
      </c>
      <c r="H659" s="140">
        <v>-1.4076439141908813E-3</v>
      </c>
      <c r="I659" s="140">
        <v>-4.4999999999999997E-3</v>
      </c>
    </row>
    <row r="660" spans="1:9" x14ac:dyDescent="0.25">
      <c r="A660">
        <v>1105</v>
      </c>
      <c r="B660" t="s">
        <v>764</v>
      </c>
      <c r="C660" t="s">
        <v>167</v>
      </c>
      <c r="D660" t="s">
        <v>63</v>
      </c>
      <c r="E660" t="s">
        <v>63</v>
      </c>
      <c r="F660" t="s">
        <v>756</v>
      </c>
      <c r="G660" s="78" t="s">
        <v>875</v>
      </c>
      <c r="H660" s="140">
        <v>-7.3000000000000001E-3</v>
      </c>
      <c r="I660" s="140">
        <v>-8.6999999999999994E-3</v>
      </c>
    </row>
    <row r="661" spans="1:9" x14ac:dyDescent="0.25">
      <c r="A661">
        <v>1182</v>
      </c>
      <c r="B661" t="s">
        <v>765</v>
      </c>
      <c r="C661" t="s">
        <v>167</v>
      </c>
      <c r="D661" t="s">
        <v>63</v>
      </c>
      <c r="E661" t="s">
        <v>63</v>
      </c>
      <c r="F661" t="s">
        <v>756</v>
      </c>
      <c r="G661" s="78" t="s">
        <v>872</v>
      </c>
      <c r="H661" s="140">
        <v>-1.14E-2</v>
      </c>
      <c r="I661" s="140">
        <v>-8.3999999999999995E-3</v>
      </c>
    </row>
    <row r="662" spans="1:9" x14ac:dyDescent="0.25">
      <c r="A662">
        <v>624</v>
      </c>
      <c r="B662" t="s">
        <v>758</v>
      </c>
      <c r="C662" t="s">
        <v>167</v>
      </c>
      <c r="D662" t="s">
        <v>63</v>
      </c>
      <c r="E662" t="s">
        <v>63</v>
      </c>
      <c r="F662" t="s">
        <v>756</v>
      </c>
      <c r="G662" s="78" t="s">
        <v>873</v>
      </c>
      <c r="H662" s="140">
        <v>-1.0502988405484099E-2</v>
      </c>
      <c r="I662" s="140">
        <v>-1.0143729284508367E-2</v>
      </c>
    </row>
    <row r="663" spans="1:9" x14ac:dyDescent="0.25">
      <c r="A663">
        <v>697</v>
      </c>
      <c r="B663" t="s">
        <v>759</v>
      </c>
      <c r="C663" t="s">
        <v>167</v>
      </c>
      <c r="D663" t="s">
        <v>63</v>
      </c>
      <c r="E663" t="s">
        <v>63</v>
      </c>
      <c r="F663" t="s">
        <v>756</v>
      </c>
      <c r="G663" s="78" t="s">
        <v>875</v>
      </c>
      <c r="H663" s="140">
        <v>-7.4999999999999997E-3</v>
      </c>
      <c r="I663" s="140">
        <v>-7.9000000000000008E-3</v>
      </c>
    </row>
    <row r="664" spans="1:9" x14ac:dyDescent="0.25">
      <c r="A664">
        <v>622</v>
      </c>
      <c r="B664" t="s">
        <v>755</v>
      </c>
      <c r="C664" t="s">
        <v>167</v>
      </c>
      <c r="D664" t="s">
        <v>63</v>
      </c>
      <c r="E664" t="s">
        <v>63</v>
      </c>
      <c r="F664" t="s">
        <v>756</v>
      </c>
      <c r="G664" s="78" t="s">
        <v>875</v>
      </c>
      <c r="H664" s="140">
        <v>-6.8999999999999999E-3</v>
      </c>
      <c r="I664" s="140">
        <v>-1.2E-2</v>
      </c>
    </row>
    <row r="665" spans="1:9" x14ac:dyDescent="0.25">
      <c r="A665">
        <v>623</v>
      </c>
      <c r="B665" t="s">
        <v>757</v>
      </c>
      <c r="C665" t="s">
        <v>167</v>
      </c>
      <c r="D665" t="s">
        <v>63</v>
      </c>
      <c r="E665" t="s">
        <v>63</v>
      </c>
      <c r="F665" t="s">
        <v>756</v>
      </c>
      <c r="G665" s="78" t="s">
        <v>872</v>
      </c>
      <c r="H665" s="140">
        <v>-1.15E-2</v>
      </c>
      <c r="I665" s="140">
        <v>-7.4999999999999997E-3</v>
      </c>
    </row>
    <row r="666" spans="1:9" x14ac:dyDescent="0.25">
      <c r="A666">
        <v>935</v>
      </c>
      <c r="B666" t="s">
        <v>760</v>
      </c>
      <c r="C666" t="s">
        <v>167</v>
      </c>
      <c r="D666" t="s">
        <v>63</v>
      </c>
      <c r="E666" t="s">
        <v>63</v>
      </c>
      <c r="F666" t="s">
        <v>756</v>
      </c>
      <c r="G666" s="78" t="s">
        <v>872</v>
      </c>
      <c r="H666" s="140">
        <v>-4.5057680969924378E-3</v>
      </c>
      <c r="I666" s="140">
        <v>-4.7999999999999996E-3</v>
      </c>
    </row>
    <row r="667" spans="1:9" x14ac:dyDescent="0.25">
      <c r="A667">
        <v>1069</v>
      </c>
      <c r="B667" t="s">
        <v>762</v>
      </c>
      <c r="C667" t="s">
        <v>167</v>
      </c>
      <c r="D667" t="s">
        <v>63</v>
      </c>
      <c r="E667" t="s">
        <v>63</v>
      </c>
      <c r="F667" t="s">
        <v>756</v>
      </c>
      <c r="G667" s="78" t="s">
        <v>875</v>
      </c>
      <c r="H667" s="140">
        <v>-6.4999999999999997E-3</v>
      </c>
      <c r="I667" s="140">
        <v>-6.7999999999999996E-3</v>
      </c>
    </row>
    <row r="668" spans="1:9" x14ac:dyDescent="0.25">
      <c r="A668">
        <v>3055</v>
      </c>
      <c r="B668" t="s">
        <v>356</v>
      </c>
      <c r="C668" t="s">
        <v>66</v>
      </c>
      <c r="D668" t="s">
        <v>63</v>
      </c>
      <c r="E668" t="s">
        <v>63</v>
      </c>
      <c r="F668" t="s">
        <v>349</v>
      </c>
      <c r="G668" s="78" t="s">
        <v>875</v>
      </c>
      <c r="H668" s="140">
        <v>-3.1339441742221988E-4</v>
      </c>
      <c r="I668" s="140">
        <v>-3.4500000000000004E-3</v>
      </c>
    </row>
    <row r="669" spans="1:9" x14ac:dyDescent="0.25">
      <c r="A669">
        <v>3056</v>
      </c>
      <c r="B669" t="s">
        <v>175</v>
      </c>
      <c r="C669" t="s">
        <v>66</v>
      </c>
      <c r="D669" t="s">
        <v>63</v>
      </c>
      <c r="E669" t="s">
        <v>63</v>
      </c>
      <c r="F669" t="s">
        <v>349</v>
      </c>
      <c r="G669" s="78" t="s">
        <v>875</v>
      </c>
      <c r="H669" s="140">
        <v>-7.4180976055834369E-4</v>
      </c>
      <c r="I669" s="140">
        <v>-3.4500000000000004E-3</v>
      </c>
    </row>
    <row r="670" spans="1:9" x14ac:dyDescent="0.25">
      <c r="A670">
        <v>315</v>
      </c>
      <c r="B670" t="s">
        <v>352</v>
      </c>
      <c r="C670" t="s">
        <v>167</v>
      </c>
      <c r="D670" t="s">
        <v>63</v>
      </c>
      <c r="E670" t="s">
        <v>63</v>
      </c>
      <c r="F670" t="s">
        <v>349</v>
      </c>
      <c r="G670" s="78" t="s">
        <v>875</v>
      </c>
      <c r="H670" s="140">
        <v>-5.8649990703589852E-3</v>
      </c>
      <c r="I670" s="140">
        <v>-5.53469975668619E-3</v>
      </c>
    </row>
    <row r="671" spans="1:9" x14ac:dyDescent="0.25">
      <c r="A671">
        <v>728</v>
      </c>
      <c r="B671" t="s">
        <v>358</v>
      </c>
      <c r="C671" t="s">
        <v>167</v>
      </c>
      <c r="D671" t="s">
        <v>63</v>
      </c>
      <c r="E671" t="s">
        <v>63</v>
      </c>
      <c r="F671" t="s">
        <v>349</v>
      </c>
      <c r="G671" s="78" t="s">
        <v>875</v>
      </c>
      <c r="H671" s="140">
        <v>-1.0174971347908138E-2</v>
      </c>
      <c r="I671" s="140">
        <v>-9.9886349852949755E-3</v>
      </c>
    </row>
    <row r="672" spans="1:9" x14ac:dyDescent="0.25">
      <c r="A672">
        <v>1122</v>
      </c>
      <c r="B672" t="s">
        <v>359</v>
      </c>
      <c r="C672" t="s">
        <v>167</v>
      </c>
      <c r="D672" t="s">
        <v>63</v>
      </c>
      <c r="E672" t="s">
        <v>63</v>
      </c>
      <c r="F672" t="s">
        <v>349</v>
      </c>
      <c r="G672" s="78" t="s">
        <v>875</v>
      </c>
      <c r="H672" s="140">
        <v>-3.2000000000000002E-3</v>
      </c>
      <c r="I672" s="140">
        <v>-6.1000000000000004E-3</v>
      </c>
    </row>
    <row r="673" spans="1:9" x14ac:dyDescent="0.25">
      <c r="A673">
        <v>466</v>
      </c>
      <c r="B673" t="s">
        <v>357</v>
      </c>
      <c r="C673" t="s">
        <v>167</v>
      </c>
      <c r="D673" t="s">
        <v>63</v>
      </c>
      <c r="E673" t="s">
        <v>63</v>
      </c>
      <c r="F673" t="s">
        <v>349</v>
      </c>
      <c r="G673" s="78" t="s">
        <v>872</v>
      </c>
      <c r="H673" s="140">
        <v>-0.01</v>
      </c>
      <c r="I673" s="140">
        <v>-8.6E-3</v>
      </c>
    </row>
    <row r="674" spans="1:9" s="31" customFormat="1" x14ac:dyDescent="0.25">
      <c r="A674" s="31">
        <v>322</v>
      </c>
      <c r="B674" s="31" t="s">
        <v>749</v>
      </c>
      <c r="C674" s="31" t="s">
        <v>167</v>
      </c>
      <c r="D674" s="31" t="s">
        <v>63</v>
      </c>
      <c r="E674" s="31" t="s">
        <v>63</v>
      </c>
      <c r="F674" s="31" t="s">
        <v>349</v>
      </c>
      <c r="G674" s="78" t="s">
        <v>873</v>
      </c>
      <c r="H674" s="140">
        <v>-1.2340898752968132E-2</v>
      </c>
      <c r="I674" s="140">
        <v>-1.1626598635210225E-2</v>
      </c>
    </row>
    <row r="675" spans="1:9" x14ac:dyDescent="0.25">
      <c r="A675">
        <v>254</v>
      </c>
      <c r="B675" t="s">
        <v>348</v>
      </c>
      <c r="C675" t="s">
        <v>167</v>
      </c>
      <c r="D675" t="s">
        <v>63</v>
      </c>
      <c r="E675" t="s">
        <v>63</v>
      </c>
      <c r="F675" t="s">
        <v>349</v>
      </c>
      <c r="G675" s="78" t="s">
        <v>875</v>
      </c>
      <c r="H675" s="140">
        <v>-4.4000000000000003E-3</v>
      </c>
      <c r="I675" s="140">
        <v>-5.1000000000000004E-3</v>
      </c>
    </row>
    <row r="676" spans="1:9" x14ac:dyDescent="0.25">
      <c r="A676">
        <v>258</v>
      </c>
      <c r="B676" t="s">
        <v>350</v>
      </c>
      <c r="C676" t="s">
        <v>167</v>
      </c>
      <c r="D676" t="s">
        <v>63</v>
      </c>
      <c r="E676" t="s">
        <v>63</v>
      </c>
      <c r="F676" t="s">
        <v>349</v>
      </c>
      <c r="G676" s="78" t="s">
        <v>873</v>
      </c>
      <c r="H676" s="140">
        <v>-7.3000000000000001E-3</v>
      </c>
      <c r="I676" s="140">
        <v>-5.5999999999999999E-3</v>
      </c>
    </row>
    <row r="677" spans="1:9" x14ac:dyDescent="0.25">
      <c r="A677">
        <v>298</v>
      </c>
      <c r="B677" t="s">
        <v>351</v>
      </c>
      <c r="C677" t="s">
        <v>167</v>
      </c>
      <c r="D677" t="s">
        <v>63</v>
      </c>
      <c r="E677" t="s">
        <v>63</v>
      </c>
      <c r="F677" t="s">
        <v>349</v>
      </c>
      <c r="G677" s="78" t="s">
        <v>872</v>
      </c>
      <c r="H677" s="140">
        <v>-7.7999999999999996E-3</v>
      </c>
      <c r="I677" s="140">
        <v>-7.6E-3</v>
      </c>
    </row>
    <row r="678" spans="1:9" x14ac:dyDescent="0.25">
      <c r="A678">
        <v>366</v>
      </c>
      <c r="B678" t="s">
        <v>353</v>
      </c>
      <c r="C678" t="s">
        <v>167</v>
      </c>
      <c r="D678" t="s">
        <v>63</v>
      </c>
      <c r="E678" t="s">
        <v>63</v>
      </c>
      <c r="F678" t="s">
        <v>349</v>
      </c>
      <c r="G678" s="78" t="s">
        <v>872</v>
      </c>
      <c r="H678" s="140">
        <v>-8.2867326389258963E-3</v>
      </c>
      <c r="I678" s="140">
        <v>-8.0416412885559625E-3</v>
      </c>
    </row>
    <row r="679" spans="1:9" x14ac:dyDescent="0.25">
      <c r="A679">
        <v>367</v>
      </c>
      <c r="B679" t="s">
        <v>354</v>
      </c>
      <c r="C679" t="s">
        <v>167</v>
      </c>
      <c r="D679" t="s">
        <v>63</v>
      </c>
      <c r="E679" t="s">
        <v>63</v>
      </c>
      <c r="F679" t="s">
        <v>349</v>
      </c>
      <c r="G679" s="78" t="s">
        <v>872</v>
      </c>
      <c r="H679" s="140">
        <v>-6.6E-3</v>
      </c>
      <c r="I679" s="140">
        <v>-5.1999999999999998E-3</v>
      </c>
    </row>
    <row r="680" spans="1:9" x14ac:dyDescent="0.25">
      <c r="A680">
        <v>423</v>
      </c>
      <c r="B680" t="s">
        <v>355</v>
      </c>
      <c r="C680" t="s">
        <v>167</v>
      </c>
      <c r="D680" t="s">
        <v>63</v>
      </c>
      <c r="E680" t="s">
        <v>63</v>
      </c>
      <c r="F680" t="s">
        <v>349</v>
      </c>
      <c r="G680" s="78" t="s">
        <v>872</v>
      </c>
      <c r="H680" s="140">
        <v>-6.4999999999999997E-3</v>
      </c>
      <c r="I680" s="140">
        <v>-1.14E-2</v>
      </c>
    </row>
    <row r="681" spans="1:9" x14ac:dyDescent="0.25">
      <c r="A681">
        <v>436</v>
      </c>
      <c r="B681" t="s">
        <v>356</v>
      </c>
      <c r="C681" t="s">
        <v>167</v>
      </c>
      <c r="D681" t="s">
        <v>63</v>
      </c>
      <c r="E681" t="s">
        <v>63</v>
      </c>
      <c r="F681" t="s">
        <v>349</v>
      </c>
      <c r="G681" s="78" t="s">
        <v>872</v>
      </c>
      <c r="H681" s="140">
        <v>-1.003020662543622E-2</v>
      </c>
      <c r="I681" s="140">
        <v>-9.4901391764128495E-3</v>
      </c>
    </row>
    <row r="682" spans="1:9" x14ac:dyDescent="0.25">
      <c r="A682">
        <v>729</v>
      </c>
      <c r="B682" t="s">
        <v>329</v>
      </c>
      <c r="C682" t="s">
        <v>167</v>
      </c>
      <c r="D682" t="s">
        <v>63</v>
      </c>
      <c r="E682" t="s">
        <v>63</v>
      </c>
      <c r="F682" t="s">
        <v>349</v>
      </c>
      <c r="G682" s="78" t="s">
        <v>872</v>
      </c>
      <c r="H682" s="140">
        <v>-1.5481538047710771E-3</v>
      </c>
      <c r="I682" s="140">
        <v>-4.4999999999999997E-3</v>
      </c>
    </row>
    <row r="683" spans="1:9" x14ac:dyDescent="0.25">
      <c r="A683">
        <v>431</v>
      </c>
      <c r="B683" t="s">
        <v>750</v>
      </c>
      <c r="C683" t="s">
        <v>167</v>
      </c>
      <c r="D683" t="s">
        <v>63</v>
      </c>
      <c r="E683" t="s">
        <v>63</v>
      </c>
      <c r="F683" t="s">
        <v>349</v>
      </c>
      <c r="G683" s="78" t="s">
        <v>875</v>
      </c>
      <c r="H683" s="140">
        <v>-4.4000000000000003E-3</v>
      </c>
      <c r="I683" s="140">
        <v>-6.1999999999999998E-3</v>
      </c>
    </row>
    <row r="684" spans="1:9" x14ac:dyDescent="0.25">
      <c r="A684">
        <v>925</v>
      </c>
      <c r="B684" t="s">
        <v>770</v>
      </c>
      <c r="C684" t="s">
        <v>167</v>
      </c>
      <c r="D684" t="s">
        <v>63</v>
      </c>
      <c r="E684" t="s">
        <v>63</v>
      </c>
      <c r="F684" t="s">
        <v>767</v>
      </c>
      <c r="G684" s="78" t="s">
        <v>875</v>
      </c>
      <c r="H684" s="140">
        <v>-4.6870985853093069E-3</v>
      </c>
      <c r="I684" s="140">
        <v>-4.8128717061571517E-3</v>
      </c>
    </row>
    <row r="685" spans="1:9" x14ac:dyDescent="0.25">
      <c r="A685">
        <v>928</v>
      </c>
      <c r="B685" t="s">
        <v>772</v>
      </c>
      <c r="C685" t="s">
        <v>167</v>
      </c>
      <c r="D685" t="s">
        <v>63</v>
      </c>
      <c r="E685" t="s">
        <v>63</v>
      </c>
      <c r="F685" t="s">
        <v>767</v>
      </c>
      <c r="G685" s="78" t="s">
        <v>872</v>
      </c>
      <c r="H685" s="140">
        <v>-5.4999999999999997E-3</v>
      </c>
      <c r="I685" s="140">
        <v>-5.0000000000000001E-3</v>
      </c>
    </row>
    <row r="686" spans="1:9" x14ac:dyDescent="0.25">
      <c r="A686">
        <v>1223</v>
      </c>
      <c r="B686" t="s">
        <v>857</v>
      </c>
      <c r="C686" t="s">
        <v>167</v>
      </c>
      <c r="D686" t="s">
        <v>63</v>
      </c>
      <c r="E686" t="s">
        <v>63</v>
      </c>
      <c r="F686" t="s">
        <v>767</v>
      </c>
      <c r="G686" s="78" t="s">
        <v>874</v>
      </c>
      <c r="H686" s="140" t="s">
        <v>876</v>
      </c>
      <c r="I686" s="140">
        <v>-8.6E-3</v>
      </c>
    </row>
    <row r="687" spans="1:9" x14ac:dyDescent="0.25">
      <c r="A687">
        <v>932</v>
      </c>
      <c r="B687" t="s">
        <v>774</v>
      </c>
      <c r="C687" t="s">
        <v>167</v>
      </c>
      <c r="D687" t="s">
        <v>63</v>
      </c>
      <c r="E687" t="s">
        <v>63</v>
      </c>
      <c r="F687" t="s">
        <v>767</v>
      </c>
      <c r="G687" s="78" t="s">
        <v>873</v>
      </c>
      <c r="H687" s="140">
        <v>-1.3060640467007282E-2</v>
      </c>
      <c r="I687" s="140">
        <v>-1.3068425017977097E-2</v>
      </c>
    </row>
    <row r="688" spans="1:9" x14ac:dyDescent="0.25">
      <c r="A688">
        <v>1111</v>
      </c>
      <c r="B688" t="s">
        <v>776</v>
      </c>
      <c r="C688" t="s">
        <v>167</v>
      </c>
      <c r="D688" t="s">
        <v>63</v>
      </c>
      <c r="E688" t="s">
        <v>63</v>
      </c>
      <c r="F688" t="s">
        <v>767</v>
      </c>
      <c r="G688" s="78" t="s">
        <v>872</v>
      </c>
      <c r="H688" s="140">
        <v>-1.18E-2</v>
      </c>
      <c r="I688" s="140">
        <v>-1.2E-2</v>
      </c>
    </row>
    <row r="689" spans="1:9" x14ac:dyDescent="0.25">
      <c r="A689">
        <v>921</v>
      </c>
      <c r="B689" t="s">
        <v>766</v>
      </c>
      <c r="C689" t="s">
        <v>167</v>
      </c>
      <c r="D689" t="s">
        <v>63</v>
      </c>
      <c r="E689" t="s">
        <v>63</v>
      </c>
      <c r="F689" t="s">
        <v>767</v>
      </c>
      <c r="G689" s="78" t="s">
        <v>875</v>
      </c>
      <c r="H689" s="140">
        <v>-8.6E-3</v>
      </c>
      <c r="I689" s="140">
        <v>-8.9999999999999993E-3</v>
      </c>
    </row>
    <row r="690" spans="1:9" x14ac:dyDescent="0.25">
      <c r="A690">
        <v>922</v>
      </c>
      <c r="B690" t="s">
        <v>768</v>
      </c>
      <c r="C690" t="s">
        <v>167</v>
      </c>
      <c r="D690" t="s">
        <v>63</v>
      </c>
      <c r="E690" t="s">
        <v>63</v>
      </c>
      <c r="F690" t="s">
        <v>767</v>
      </c>
      <c r="G690" s="78" t="s">
        <v>872</v>
      </c>
      <c r="H690" s="140">
        <v>-5.6341105490168913E-3</v>
      </c>
      <c r="I690" s="140">
        <v>-5.6426238286594911E-3</v>
      </c>
    </row>
    <row r="691" spans="1:9" x14ac:dyDescent="0.25">
      <c r="A691">
        <v>924</v>
      </c>
      <c r="B691" t="s">
        <v>769</v>
      </c>
      <c r="C691" t="s">
        <v>167</v>
      </c>
      <c r="D691" t="s">
        <v>63</v>
      </c>
      <c r="E691" t="s">
        <v>63</v>
      </c>
      <c r="F691" t="s">
        <v>767</v>
      </c>
      <c r="G691" s="78" t="s">
        <v>875</v>
      </c>
      <c r="H691" s="140">
        <v>-5.0000000000000001E-3</v>
      </c>
      <c r="I691" s="140">
        <v>-5.4999999999999997E-3</v>
      </c>
    </row>
    <row r="692" spans="1:9" x14ac:dyDescent="0.25">
      <c r="A692">
        <v>926</v>
      </c>
      <c r="B692" t="s">
        <v>771</v>
      </c>
      <c r="C692" t="s">
        <v>167</v>
      </c>
      <c r="D692" t="s">
        <v>63</v>
      </c>
      <c r="E692" t="s">
        <v>63</v>
      </c>
      <c r="F692" t="s">
        <v>767</v>
      </c>
      <c r="G692" s="78" t="s">
        <v>872</v>
      </c>
      <c r="H692" s="140">
        <v>-4.0961490468954384E-3</v>
      </c>
      <c r="I692" s="140">
        <v>-4.4999999999999997E-3</v>
      </c>
    </row>
    <row r="693" spans="1:9" x14ac:dyDescent="0.25">
      <c r="A693">
        <v>929</v>
      </c>
      <c r="B693" t="s">
        <v>773</v>
      </c>
      <c r="C693" t="s">
        <v>167</v>
      </c>
      <c r="D693" t="s">
        <v>63</v>
      </c>
      <c r="E693" t="s">
        <v>63</v>
      </c>
      <c r="F693" t="s">
        <v>767</v>
      </c>
      <c r="G693" s="78" t="s">
        <v>872</v>
      </c>
      <c r="H693" s="140">
        <v>-5.3663838702629569E-3</v>
      </c>
      <c r="I693" s="140">
        <v>-5.7504779340223139E-3</v>
      </c>
    </row>
    <row r="694" spans="1:9" x14ac:dyDescent="0.25">
      <c r="A694">
        <v>1033</v>
      </c>
      <c r="B694" t="s">
        <v>775</v>
      </c>
      <c r="C694" t="s">
        <v>167</v>
      </c>
      <c r="D694" t="s">
        <v>63</v>
      </c>
      <c r="E694" t="s">
        <v>63</v>
      </c>
      <c r="F694" t="s">
        <v>767</v>
      </c>
      <c r="G694" s="78" t="s">
        <v>875</v>
      </c>
      <c r="H694" s="140">
        <v>-9.9000000000000008E-3</v>
      </c>
      <c r="I694" s="140">
        <v>-1.0999999999999999E-2</v>
      </c>
    </row>
    <row r="695" spans="1:9" x14ac:dyDescent="0.25">
      <c r="A695">
        <v>3084</v>
      </c>
      <c r="B695" t="s">
        <v>788</v>
      </c>
      <c r="C695" t="s">
        <v>66</v>
      </c>
      <c r="D695" t="s">
        <v>63</v>
      </c>
      <c r="E695" t="s">
        <v>63</v>
      </c>
      <c r="F695" t="s">
        <v>778</v>
      </c>
      <c r="G695" s="78" t="s">
        <v>873</v>
      </c>
      <c r="H695" s="140">
        <v>-2.4167072970138773E-2</v>
      </c>
      <c r="I695" s="140">
        <v>-7.4500000000000009E-3</v>
      </c>
    </row>
    <row r="696" spans="1:9" x14ac:dyDescent="0.25">
      <c r="A696">
        <v>933</v>
      </c>
      <c r="B696" t="s">
        <v>783</v>
      </c>
      <c r="C696" t="s">
        <v>167</v>
      </c>
      <c r="D696" t="s">
        <v>63</v>
      </c>
      <c r="E696" t="s">
        <v>63</v>
      </c>
      <c r="F696" t="s">
        <v>778</v>
      </c>
      <c r="G696" s="78" t="s">
        <v>875</v>
      </c>
      <c r="H696" s="140">
        <v>-3.8999999999999998E-3</v>
      </c>
      <c r="I696" s="140">
        <v>-6.1999999999999998E-3</v>
      </c>
    </row>
    <row r="697" spans="1:9" x14ac:dyDescent="0.25">
      <c r="A697">
        <v>1195</v>
      </c>
      <c r="B697" t="s">
        <v>903</v>
      </c>
      <c r="C697" t="s">
        <v>167</v>
      </c>
      <c r="D697" t="s">
        <v>63</v>
      </c>
      <c r="E697" t="s">
        <v>63</v>
      </c>
      <c r="F697" t="s">
        <v>778</v>
      </c>
      <c r="G697" s="78" t="s">
        <v>874</v>
      </c>
      <c r="H697" s="140" t="s">
        <v>876</v>
      </c>
      <c r="I697" s="140"/>
    </row>
    <row r="698" spans="1:9" x14ac:dyDescent="0.25">
      <c r="A698">
        <v>931</v>
      </c>
      <c r="B698" t="s">
        <v>782</v>
      </c>
      <c r="C698" t="s">
        <v>167</v>
      </c>
      <c r="D698" t="s">
        <v>63</v>
      </c>
      <c r="E698" t="s">
        <v>63</v>
      </c>
      <c r="F698" t="s">
        <v>778</v>
      </c>
      <c r="G698" s="78" t="s">
        <v>875</v>
      </c>
      <c r="H698" s="140">
        <v>-4.7000000000000002E-3</v>
      </c>
      <c r="I698" s="140">
        <v>-8.5000000000000006E-3</v>
      </c>
    </row>
    <row r="699" spans="1:9" x14ac:dyDescent="0.25">
      <c r="A699">
        <v>1126</v>
      </c>
      <c r="B699" t="s">
        <v>787</v>
      </c>
      <c r="C699" t="s">
        <v>167</v>
      </c>
      <c r="D699" t="s">
        <v>63</v>
      </c>
      <c r="E699" t="s">
        <v>63</v>
      </c>
      <c r="F699" t="s">
        <v>778</v>
      </c>
      <c r="G699" s="78" t="s">
        <v>872</v>
      </c>
      <c r="H699" s="140">
        <v>-1.06E-2</v>
      </c>
      <c r="I699" s="140">
        <v>-1.14E-2</v>
      </c>
    </row>
    <row r="700" spans="1:9" x14ac:dyDescent="0.25">
      <c r="A700">
        <v>609</v>
      </c>
      <c r="B700" t="s">
        <v>777</v>
      </c>
      <c r="C700" t="s">
        <v>167</v>
      </c>
      <c r="D700" t="s">
        <v>63</v>
      </c>
      <c r="E700" t="s">
        <v>63</v>
      </c>
      <c r="F700" t="s">
        <v>778</v>
      </c>
      <c r="G700" s="78" t="s">
        <v>872</v>
      </c>
      <c r="H700" s="140">
        <v>-6.954731138406201E-3</v>
      </c>
      <c r="I700" s="140">
        <v>-6.8717913863125587E-3</v>
      </c>
    </row>
    <row r="701" spans="1:9" x14ac:dyDescent="0.25">
      <c r="A701">
        <v>615</v>
      </c>
      <c r="B701" t="s">
        <v>779</v>
      </c>
      <c r="C701" t="s">
        <v>167</v>
      </c>
      <c r="D701" t="s">
        <v>63</v>
      </c>
      <c r="E701" t="s">
        <v>63</v>
      </c>
      <c r="F701" t="s">
        <v>778</v>
      </c>
      <c r="G701" s="78" t="s">
        <v>872</v>
      </c>
      <c r="H701" s="140">
        <v>-8.0000000000000002E-3</v>
      </c>
      <c r="I701" s="140">
        <v>-9.1999999999999998E-3</v>
      </c>
    </row>
    <row r="702" spans="1:9" x14ac:dyDescent="0.25">
      <c r="A702">
        <v>923</v>
      </c>
      <c r="B702" t="s">
        <v>780</v>
      </c>
      <c r="C702" t="s">
        <v>167</v>
      </c>
      <c r="D702" t="s">
        <v>63</v>
      </c>
      <c r="E702" t="s">
        <v>63</v>
      </c>
      <c r="F702" t="s">
        <v>778</v>
      </c>
      <c r="G702" s="78" t="s">
        <v>872</v>
      </c>
      <c r="H702" s="140">
        <v>-6.1305369098230041E-3</v>
      </c>
      <c r="I702" s="140">
        <v>-6.1353705240294832E-3</v>
      </c>
    </row>
    <row r="703" spans="1:9" x14ac:dyDescent="0.25">
      <c r="A703">
        <v>927</v>
      </c>
      <c r="B703" t="s">
        <v>781</v>
      </c>
      <c r="C703" t="s">
        <v>167</v>
      </c>
      <c r="D703" t="s">
        <v>63</v>
      </c>
      <c r="E703" t="s">
        <v>63</v>
      </c>
      <c r="F703" t="s">
        <v>778</v>
      </c>
      <c r="G703" s="78" t="s">
        <v>875</v>
      </c>
      <c r="H703" s="140">
        <v>-7.4999999999999997E-3</v>
      </c>
      <c r="I703" s="140">
        <v>-7.4999999999999997E-3</v>
      </c>
    </row>
    <row r="704" spans="1:9" x14ac:dyDescent="0.25">
      <c r="A704">
        <v>936</v>
      </c>
      <c r="B704" t="s">
        <v>784</v>
      </c>
      <c r="C704" t="s">
        <v>167</v>
      </c>
      <c r="D704" t="s">
        <v>63</v>
      </c>
      <c r="E704" t="s">
        <v>63</v>
      </c>
      <c r="F704" t="s">
        <v>778</v>
      </c>
      <c r="G704" s="78" t="s">
        <v>872</v>
      </c>
      <c r="H704" s="140">
        <v>-2.9670085542166666E-3</v>
      </c>
      <c r="I704" s="140">
        <v>-4.4999999999999997E-3</v>
      </c>
    </row>
    <row r="705" spans="1:9" s="31" customFormat="1" x14ac:dyDescent="0.25">
      <c r="A705" s="31">
        <v>1025</v>
      </c>
      <c r="B705" s="31" t="s">
        <v>785</v>
      </c>
      <c r="C705" s="31" t="s">
        <v>167</v>
      </c>
      <c r="D705" s="31" t="s">
        <v>63</v>
      </c>
      <c r="E705" s="31" t="s">
        <v>63</v>
      </c>
      <c r="F705" s="31" t="s">
        <v>778</v>
      </c>
      <c r="G705" s="78" t="s">
        <v>872</v>
      </c>
      <c r="H705" s="140">
        <v>-9.5999999999999992E-3</v>
      </c>
      <c r="I705" s="140">
        <v>-8.9999999999999993E-3</v>
      </c>
    </row>
    <row r="706" spans="1:9" x14ac:dyDescent="0.25">
      <c r="A706">
        <v>1026</v>
      </c>
      <c r="B706" t="s">
        <v>786</v>
      </c>
      <c r="C706" t="s">
        <v>167</v>
      </c>
      <c r="D706" t="s">
        <v>63</v>
      </c>
      <c r="E706" t="s">
        <v>63</v>
      </c>
      <c r="F706" t="s">
        <v>778</v>
      </c>
      <c r="G706" s="78" t="s">
        <v>872</v>
      </c>
      <c r="H706" s="140">
        <v>-7.6E-3</v>
      </c>
      <c r="I706" s="140">
        <v>-7.4000000000000003E-3</v>
      </c>
    </row>
    <row r="707" spans="1:9" x14ac:dyDescent="0.25">
      <c r="A707">
        <v>3080</v>
      </c>
      <c r="B707" t="s">
        <v>798</v>
      </c>
      <c r="C707" t="s">
        <v>66</v>
      </c>
      <c r="D707" t="s">
        <v>63</v>
      </c>
      <c r="E707" t="s">
        <v>63</v>
      </c>
      <c r="F707" t="s">
        <v>790</v>
      </c>
      <c r="G707" s="78" t="s">
        <v>875</v>
      </c>
      <c r="H707" s="140">
        <v>-1.0426130141920004E-3</v>
      </c>
      <c r="I707" s="140">
        <v>-3.4500000000000004E-3</v>
      </c>
    </row>
    <row r="708" spans="1:9" x14ac:dyDescent="0.25">
      <c r="A708">
        <v>1047</v>
      </c>
      <c r="B708" t="s">
        <v>789</v>
      </c>
      <c r="C708" t="s">
        <v>167</v>
      </c>
      <c r="D708" t="s">
        <v>63</v>
      </c>
      <c r="E708" t="s">
        <v>63</v>
      </c>
      <c r="F708" t="s">
        <v>790</v>
      </c>
      <c r="G708" s="78" t="s">
        <v>872</v>
      </c>
      <c r="H708" s="140">
        <v>-6.0000000000000001E-3</v>
      </c>
      <c r="I708" s="140">
        <v>-5.7999999999999996E-3</v>
      </c>
    </row>
    <row r="709" spans="1:9" x14ac:dyDescent="0.25">
      <c r="A709">
        <v>1049</v>
      </c>
      <c r="B709" t="s">
        <v>792</v>
      </c>
      <c r="C709" t="s">
        <v>167</v>
      </c>
      <c r="D709" t="s">
        <v>63</v>
      </c>
      <c r="E709" t="s">
        <v>63</v>
      </c>
      <c r="F709" t="s">
        <v>790</v>
      </c>
      <c r="G709" s="78" t="s">
        <v>874</v>
      </c>
      <c r="H709" s="140">
        <v>0</v>
      </c>
      <c r="I709" s="140">
        <v>-8.6E-3</v>
      </c>
    </row>
    <row r="710" spans="1:9" x14ac:dyDescent="0.25">
      <c r="A710">
        <v>1072</v>
      </c>
      <c r="B710" t="s">
        <v>793</v>
      </c>
      <c r="C710" t="s">
        <v>167</v>
      </c>
      <c r="D710" t="s">
        <v>63</v>
      </c>
      <c r="E710" t="s">
        <v>63</v>
      </c>
      <c r="F710" t="s">
        <v>790</v>
      </c>
      <c r="G710" s="78" t="s">
        <v>872</v>
      </c>
      <c r="H710" s="140">
        <v>-1.0200000000000001E-2</v>
      </c>
      <c r="I710" s="140">
        <v>-8.9999999999999993E-3</v>
      </c>
    </row>
    <row r="711" spans="1:9" x14ac:dyDescent="0.25">
      <c r="A711">
        <v>1092</v>
      </c>
      <c r="B711" t="s">
        <v>795</v>
      </c>
      <c r="C711" t="s">
        <v>167</v>
      </c>
      <c r="D711" t="s">
        <v>63</v>
      </c>
      <c r="E711" t="s">
        <v>63</v>
      </c>
      <c r="F711" t="s">
        <v>790</v>
      </c>
      <c r="G711" s="78" t="s">
        <v>873</v>
      </c>
      <c r="H711" s="140">
        <v>-1.1599999999999999E-2</v>
      </c>
      <c r="I711" s="140">
        <v>-8.8000000000000005E-3</v>
      </c>
    </row>
    <row r="712" spans="1:9" x14ac:dyDescent="0.25">
      <c r="A712">
        <v>1170</v>
      </c>
      <c r="B712" t="s">
        <v>796</v>
      </c>
      <c r="C712" t="s">
        <v>167</v>
      </c>
      <c r="D712" t="s">
        <v>63</v>
      </c>
      <c r="E712" t="s">
        <v>63</v>
      </c>
      <c r="F712" t="s">
        <v>790</v>
      </c>
      <c r="G712" s="78" t="s">
        <v>873</v>
      </c>
      <c r="H712" s="140">
        <v>-1.5299999999999999E-2</v>
      </c>
      <c r="I712" s="140">
        <v>-8.3999999999999995E-3</v>
      </c>
    </row>
    <row r="713" spans="1:9" x14ac:dyDescent="0.25">
      <c r="A713">
        <v>1176</v>
      </c>
      <c r="B713" t="s">
        <v>797</v>
      </c>
      <c r="C713" t="s">
        <v>167</v>
      </c>
      <c r="D713" t="s">
        <v>63</v>
      </c>
      <c r="E713" t="s">
        <v>63</v>
      </c>
      <c r="F713" t="s">
        <v>790</v>
      </c>
      <c r="G713" s="78" t="s">
        <v>875</v>
      </c>
      <c r="H713" s="140">
        <v>-7.1999999999999998E-3</v>
      </c>
      <c r="I713" s="140">
        <v>-8.6E-3</v>
      </c>
    </row>
    <row r="714" spans="1:9" x14ac:dyDescent="0.25">
      <c r="A714">
        <v>1048</v>
      </c>
      <c r="B714" t="s">
        <v>791</v>
      </c>
      <c r="C714" t="s">
        <v>167</v>
      </c>
      <c r="D714" t="s">
        <v>63</v>
      </c>
      <c r="E714" t="s">
        <v>63</v>
      </c>
      <c r="F714" t="s">
        <v>790</v>
      </c>
      <c r="G714" s="78" t="s">
        <v>873</v>
      </c>
      <c r="H714" s="140">
        <v>-1.200706142267099E-2</v>
      </c>
      <c r="I714" s="140">
        <v>-1.1844105452397996E-2</v>
      </c>
    </row>
    <row r="715" spans="1:9" x14ac:dyDescent="0.25">
      <c r="A715">
        <v>1070</v>
      </c>
      <c r="B715" t="s">
        <v>763</v>
      </c>
      <c r="C715" t="s">
        <v>167</v>
      </c>
      <c r="D715" t="s">
        <v>63</v>
      </c>
      <c r="E715" t="s">
        <v>63</v>
      </c>
      <c r="F715" t="s">
        <v>790</v>
      </c>
      <c r="G715" s="78" t="s">
        <v>875</v>
      </c>
      <c r="H715" s="140">
        <v>-6.4000000000000003E-3</v>
      </c>
      <c r="I715" s="140">
        <v>-1.2E-2</v>
      </c>
    </row>
    <row r="716" spans="1:9" x14ac:dyDescent="0.25">
      <c r="A716">
        <v>1071</v>
      </c>
      <c r="B716" t="s">
        <v>297</v>
      </c>
      <c r="C716" t="s">
        <v>167</v>
      </c>
      <c r="D716" t="s">
        <v>63</v>
      </c>
      <c r="E716" t="s">
        <v>63</v>
      </c>
      <c r="F716" t="s">
        <v>790</v>
      </c>
      <c r="G716" s="78" t="s">
        <v>872</v>
      </c>
      <c r="H716" s="140">
        <v>-8.8999999999999999E-3</v>
      </c>
      <c r="I716" s="140">
        <v>-7.4999999999999997E-3</v>
      </c>
    </row>
    <row r="717" spans="1:9" x14ac:dyDescent="0.25">
      <c r="A717">
        <v>1089</v>
      </c>
      <c r="B717" t="s">
        <v>794</v>
      </c>
      <c r="C717" t="s">
        <v>167</v>
      </c>
      <c r="D717" t="s">
        <v>63</v>
      </c>
      <c r="E717" t="s">
        <v>63</v>
      </c>
      <c r="F717" t="s">
        <v>790</v>
      </c>
      <c r="G717" s="78" t="s">
        <v>872</v>
      </c>
      <c r="H717" s="140">
        <v>-8.6999999999999994E-3</v>
      </c>
      <c r="I717" s="140">
        <v>-7.1000000000000004E-3</v>
      </c>
    </row>
    <row r="718" spans="1:9" x14ac:dyDescent="0.25">
      <c r="A718">
        <v>3081</v>
      </c>
      <c r="B718" t="s">
        <v>811</v>
      </c>
      <c r="C718" t="s">
        <v>66</v>
      </c>
      <c r="D718" t="s">
        <v>63</v>
      </c>
      <c r="E718" t="s">
        <v>63</v>
      </c>
      <c r="F718" t="s">
        <v>799</v>
      </c>
      <c r="G718" s="78" t="s">
        <v>875</v>
      </c>
      <c r="H718" s="140">
        <v>-1.2010900227273288E-3</v>
      </c>
      <c r="I718" s="140">
        <v>-3.4500000000000004E-3</v>
      </c>
    </row>
    <row r="719" spans="1:9" x14ac:dyDescent="0.25">
      <c r="A719">
        <v>674</v>
      </c>
      <c r="B719" t="s">
        <v>802</v>
      </c>
      <c r="C719" t="s">
        <v>167</v>
      </c>
      <c r="D719" t="s">
        <v>63</v>
      </c>
      <c r="E719" t="s">
        <v>63</v>
      </c>
      <c r="F719" t="s">
        <v>799</v>
      </c>
      <c r="G719" s="78" t="s">
        <v>875</v>
      </c>
      <c r="H719" s="140">
        <v>-9.4709301632589504E-3</v>
      </c>
      <c r="I719" s="140">
        <v>-9.339924894723791E-3</v>
      </c>
    </row>
    <row r="720" spans="1:9" x14ac:dyDescent="0.25">
      <c r="A720">
        <v>675</v>
      </c>
      <c r="B720" t="s">
        <v>803</v>
      </c>
      <c r="C720" t="s">
        <v>167</v>
      </c>
      <c r="D720" t="s">
        <v>63</v>
      </c>
      <c r="E720" t="s">
        <v>63</v>
      </c>
      <c r="F720" t="s">
        <v>799</v>
      </c>
      <c r="G720" s="78" t="s">
        <v>872</v>
      </c>
      <c r="H720" s="140">
        <v>-8.3999999999999995E-3</v>
      </c>
      <c r="I720" s="140">
        <v>-6.4999999999999997E-3</v>
      </c>
    </row>
    <row r="721" spans="1:9" x14ac:dyDescent="0.25">
      <c r="A721">
        <v>677</v>
      </c>
      <c r="B721" t="s">
        <v>805</v>
      </c>
      <c r="C721" t="s">
        <v>167</v>
      </c>
      <c r="D721" t="s">
        <v>63</v>
      </c>
      <c r="E721" t="s">
        <v>63</v>
      </c>
      <c r="F721" t="s">
        <v>799</v>
      </c>
      <c r="G721" s="78" t="s">
        <v>873</v>
      </c>
      <c r="H721" s="140">
        <v>-1.1299999999999999E-2</v>
      </c>
      <c r="I721" s="140">
        <v>-8.0999999999999996E-3</v>
      </c>
    </row>
    <row r="722" spans="1:9" x14ac:dyDescent="0.25">
      <c r="A722">
        <v>685</v>
      </c>
      <c r="B722" t="s">
        <v>808</v>
      </c>
      <c r="C722" t="s">
        <v>167</v>
      </c>
      <c r="D722" t="s">
        <v>63</v>
      </c>
      <c r="E722" t="s">
        <v>63</v>
      </c>
      <c r="F722" t="s">
        <v>799</v>
      </c>
      <c r="G722" s="78" t="s">
        <v>875</v>
      </c>
      <c r="H722" s="140">
        <v>-2.079056271528957E-3</v>
      </c>
      <c r="I722" s="140">
        <v>-4.4999999999999997E-3</v>
      </c>
    </row>
    <row r="723" spans="1:9" x14ac:dyDescent="0.25">
      <c r="A723">
        <v>1075</v>
      </c>
      <c r="B723" t="s">
        <v>809</v>
      </c>
      <c r="C723" t="s">
        <v>167</v>
      </c>
      <c r="D723" t="s">
        <v>63</v>
      </c>
      <c r="E723" t="s">
        <v>63</v>
      </c>
      <c r="F723" t="s">
        <v>799</v>
      </c>
      <c r="G723" s="78" t="s">
        <v>872</v>
      </c>
      <c r="H723" s="140">
        <v>-6.0000000000000001E-3</v>
      </c>
      <c r="I723" s="140">
        <v>-4.1000000000000003E-3</v>
      </c>
    </row>
    <row r="724" spans="1:9" x14ac:dyDescent="0.25">
      <c r="A724">
        <v>1167</v>
      </c>
      <c r="B724" t="s">
        <v>810</v>
      </c>
      <c r="C724" t="s">
        <v>167</v>
      </c>
      <c r="D724" t="s">
        <v>63</v>
      </c>
      <c r="E724" t="s">
        <v>63</v>
      </c>
      <c r="F724" t="s">
        <v>799</v>
      </c>
      <c r="G724" s="78" t="s">
        <v>875</v>
      </c>
      <c r="H724" s="140">
        <v>-8.3000000000000001E-3</v>
      </c>
      <c r="I724" s="140">
        <v>-8.3999999999999995E-3</v>
      </c>
    </row>
    <row r="725" spans="1:9" x14ac:dyDescent="0.25">
      <c r="A725">
        <v>1202</v>
      </c>
      <c r="B725" t="s">
        <v>811</v>
      </c>
      <c r="C725" t="s">
        <v>167</v>
      </c>
      <c r="D725" t="s">
        <v>63</v>
      </c>
      <c r="E725" t="s">
        <v>63</v>
      </c>
      <c r="F725" t="s">
        <v>799</v>
      </c>
      <c r="G725" s="78" t="s">
        <v>874</v>
      </c>
      <c r="H725" s="140" t="s">
        <v>876</v>
      </c>
      <c r="I725" s="140">
        <v>-8.6E-3</v>
      </c>
    </row>
    <row r="726" spans="1:9" x14ac:dyDescent="0.25">
      <c r="A726">
        <v>342</v>
      </c>
      <c r="B726" t="s">
        <v>470</v>
      </c>
      <c r="C726" t="s">
        <v>167</v>
      </c>
      <c r="D726" t="s">
        <v>63</v>
      </c>
      <c r="E726" t="s">
        <v>63</v>
      </c>
      <c r="F726" t="s">
        <v>799</v>
      </c>
      <c r="G726" s="78" t="s">
        <v>872</v>
      </c>
      <c r="H726" s="140">
        <v>-1.1191969493388545E-2</v>
      </c>
      <c r="I726" s="140">
        <v>-1.0614595931522653E-2</v>
      </c>
    </row>
    <row r="727" spans="1:9" x14ac:dyDescent="0.25">
      <c r="A727">
        <v>670</v>
      </c>
      <c r="B727" t="s">
        <v>800</v>
      </c>
      <c r="C727" t="s">
        <v>167</v>
      </c>
      <c r="D727" t="s">
        <v>63</v>
      </c>
      <c r="E727" t="s">
        <v>63</v>
      </c>
      <c r="F727" t="s">
        <v>799</v>
      </c>
      <c r="G727" s="78" t="s">
        <v>872</v>
      </c>
      <c r="H727" s="140">
        <v>-1.1957481886648434E-2</v>
      </c>
      <c r="I727" s="140">
        <v>-1.1318042986516763E-2</v>
      </c>
    </row>
    <row r="728" spans="1:9" x14ac:dyDescent="0.25">
      <c r="A728">
        <v>673</v>
      </c>
      <c r="B728" t="s">
        <v>801</v>
      </c>
      <c r="C728" t="s">
        <v>167</v>
      </c>
      <c r="D728" t="s">
        <v>63</v>
      </c>
      <c r="E728" t="s">
        <v>63</v>
      </c>
      <c r="F728" t="s">
        <v>799</v>
      </c>
      <c r="G728" s="78" t="s">
        <v>872</v>
      </c>
      <c r="H728" s="140">
        <v>-5.2363165058713817E-3</v>
      </c>
      <c r="I728" s="140">
        <v>-5.5028975686926551E-3</v>
      </c>
    </row>
    <row r="729" spans="1:9" x14ac:dyDescent="0.25">
      <c r="A729">
        <v>676</v>
      </c>
      <c r="B729" t="s">
        <v>804</v>
      </c>
      <c r="C729" t="s">
        <v>167</v>
      </c>
      <c r="D729" t="s">
        <v>63</v>
      </c>
      <c r="E729" t="s">
        <v>63</v>
      </c>
      <c r="F729" t="s">
        <v>799</v>
      </c>
      <c r="G729" s="78" t="s">
        <v>872</v>
      </c>
      <c r="H729" s="140">
        <v>-5.4000000000000003E-3</v>
      </c>
      <c r="I729" s="140">
        <v>-4.8999999999999998E-3</v>
      </c>
    </row>
    <row r="730" spans="1:9" x14ac:dyDescent="0.25">
      <c r="A730">
        <v>678</v>
      </c>
      <c r="B730" t="s">
        <v>806</v>
      </c>
      <c r="C730" t="s">
        <v>167</v>
      </c>
      <c r="D730" t="s">
        <v>63</v>
      </c>
      <c r="E730" t="s">
        <v>63</v>
      </c>
      <c r="F730" t="s">
        <v>799</v>
      </c>
      <c r="G730" s="78" t="s">
        <v>872</v>
      </c>
      <c r="H730" s="140">
        <v>-1.6163854352385414E-2</v>
      </c>
      <c r="I730" s="140">
        <v>-1.4500000000000001E-2</v>
      </c>
    </row>
    <row r="731" spans="1:9" x14ac:dyDescent="0.25">
      <c r="A731">
        <v>679</v>
      </c>
      <c r="B731" t="s">
        <v>807</v>
      </c>
      <c r="C731" t="s">
        <v>167</v>
      </c>
      <c r="D731" t="s">
        <v>63</v>
      </c>
      <c r="E731" t="s">
        <v>63</v>
      </c>
      <c r="F731" t="s">
        <v>799</v>
      </c>
      <c r="G731" s="78" t="s">
        <v>872</v>
      </c>
      <c r="H731" s="140">
        <v>-1.4800000000000001E-2</v>
      </c>
      <c r="I731" s="140">
        <v>-1.2E-2</v>
      </c>
    </row>
    <row r="732" spans="1:9" x14ac:dyDescent="0.25">
      <c r="A732">
        <v>3067</v>
      </c>
      <c r="B732" t="s">
        <v>822</v>
      </c>
      <c r="C732" t="s">
        <v>66</v>
      </c>
      <c r="D732" t="s">
        <v>63</v>
      </c>
      <c r="E732" t="s">
        <v>63</v>
      </c>
      <c r="F732" t="s">
        <v>813</v>
      </c>
      <c r="G732" s="78" t="s">
        <v>875</v>
      </c>
      <c r="H732" s="140">
        <v>-4.1951474218568287E-3</v>
      </c>
      <c r="I732" s="140">
        <v>-3.5500000000000002E-3</v>
      </c>
    </row>
    <row r="733" spans="1:9" x14ac:dyDescent="0.25">
      <c r="A733">
        <v>3110</v>
      </c>
      <c r="B733" t="s">
        <v>817</v>
      </c>
      <c r="C733" t="s">
        <v>66</v>
      </c>
      <c r="D733" t="s">
        <v>63</v>
      </c>
      <c r="E733" t="s">
        <v>63</v>
      </c>
      <c r="F733" t="s">
        <v>813</v>
      </c>
      <c r="G733" s="78" t="s">
        <v>875</v>
      </c>
      <c r="H733" s="140">
        <v>-2.1212104940602057E-4</v>
      </c>
      <c r="I733" s="140">
        <v>-3.4500000000000004E-3</v>
      </c>
    </row>
    <row r="734" spans="1:9" x14ac:dyDescent="0.25">
      <c r="A734">
        <v>363</v>
      </c>
      <c r="B734" t="s">
        <v>814</v>
      </c>
      <c r="C734" t="s">
        <v>167</v>
      </c>
      <c r="D734" t="s">
        <v>63</v>
      </c>
      <c r="E734" t="s">
        <v>63</v>
      </c>
      <c r="F734" t="s">
        <v>813</v>
      </c>
      <c r="G734" s="78" t="s">
        <v>875</v>
      </c>
      <c r="H734" s="140">
        <v>-4.6663901899945256E-3</v>
      </c>
      <c r="I734" s="140">
        <v>-4.4999999999999997E-3</v>
      </c>
    </row>
    <row r="735" spans="1:9" x14ac:dyDescent="0.25">
      <c r="A735">
        <v>726</v>
      </c>
      <c r="B735" t="s">
        <v>819</v>
      </c>
      <c r="C735" t="s">
        <v>167</v>
      </c>
      <c r="D735" t="s">
        <v>63</v>
      </c>
      <c r="E735" t="s">
        <v>63</v>
      </c>
      <c r="F735" t="s">
        <v>813</v>
      </c>
      <c r="G735" s="78" t="s">
        <v>875</v>
      </c>
      <c r="H735" s="140">
        <v>-3.5999999999999999E-3</v>
      </c>
      <c r="I735" s="140">
        <v>-5.0000000000000001E-3</v>
      </c>
    </row>
    <row r="736" spans="1:9" x14ac:dyDescent="0.25">
      <c r="A736">
        <v>1007</v>
      </c>
      <c r="B736" t="s">
        <v>820</v>
      </c>
      <c r="C736" t="s">
        <v>167</v>
      </c>
      <c r="D736" t="s">
        <v>63</v>
      </c>
      <c r="E736" t="s">
        <v>63</v>
      </c>
      <c r="F736" t="s">
        <v>813</v>
      </c>
      <c r="G736" s="78" t="s">
        <v>875</v>
      </c>
      <c r="H736" s="140">
        <v>-6.7530343330869345E-3</v>
      </c>
      <c r="I736" s="140">
        <v>-6.4000000000000003E-3</v>
      </c>
    </row>
    <row r="737" spans="1:9" x14ac:dyDescent="0.25">
      <c r="A737">
        <v>1131</v>
      </c>
      <c r="B737" t="s">
        <v>821</v>
      </c>
      <c r="C737" t="s">
        <v>167</v>
      </c>
      <c r="D737" t="s">
        <v>63</v>
      </c>
      <c r="E737" t="s">
        <v>63</v>
      </c>
      <c r="F737" t="s">
        <v>813</v>
      </c>
      <c r="G737" s="78" t="s">
        <v>873</v>
      </c>
      <c r="H737" s="140">
        <v>-1.06E-2</v>
      </c>
      <c r="I737" s="140">
        <v>-4.0000000000000001E-3</v>
      </c>
    </row>
    <row r="738" spans="1:9" x14ac:dyDescent="0.25">
      <c r="A738">
        <v>1194</v>
      </c>
      <c r="B738" t="s">
        <v>858</v>
      </c>
      <c r="C738" t="s">
        <v>167</v>
      </c>
      <c r="D738" t="s">
        <v>63</v>
      </c>
      <c r="E738" t="s">
        <v>63</v>
      </c>
      <c r="F738" t="s">
        <v>813</v>
      </c>
      <c r="G738" s="78" t="s">
        <v>874</v>
      </c>
      <c r="H738" s="140" t="s">
        <v>876</v>
      </c>
      <c r="I738" s="140">
        <v>-8.6E-3</v>
      </c>
    </row>
    <row r="739" spans="1:9" x14ac:dyDescent="0.25">
      <c r="A739">
        <v>1217</v>
      </c>
      <c r="B739" t="s">
        <v>904</v>
      </c>
      <c r="C739" t="s">
        <v>167</v>
      </c>
      <c r="D739" t="s">
        <v>63</v>
      </c>
      <c r="E739" t="s">
        <v>63</v>
      </c>
      <c r="F739" t="s">
        <v>813</v>
      </c>
      <c r="G739" s="78" t="s">
        <v>874</v>
      </c>
      <c r="H739" s="140" t="s">
        <v>876</v>
      </c>
      <c r="I739" s="140"/>
    </row>
    <row r="740" spans="1:9" x14ac:dyDescent="0.25">
      <c r="A740">
        <v>1266</v>
      </c>
      <c r="B740" t="s">
        <v>859</v>
      </c>
      <c r="C740" t="s">
        <v>167</v>
      </c>
      <c r="D740" t="s">
        <v>63</v>
      </c>
      <c r="E740" t="s">
        <v>63</v>
      </c>
      <c r="F740" t="s">
        <v>813</v>
      </c>
      <c r="G740" s="78" t="s">
        <v>874</v>
      </c>
      <c r="H740" s="140" t="s">
        <v>876</v>
      </c>
      <c r="I740" s="140">
        <v>-8.6E-3</v>
      </c>
    </row>
    <row r="741" spans="1:9" x14ac:dyDescent="0.25">
      <c r="A741">
        <v>440</v>
      </c>
      <c r="B741" t="s">
        <v>817</v>
      </c>
      <c r="C741" t="s">
        <v>167</v>
      </c>
      <c r="D741" t="s">
        <v>63</v>
      </c>
      <c r="E741" t="s">
        <v>63</v>
      </c>
      <c r="F741" t="s">
        <v>813</v>
      </c>
      <c r="G741" s="78" t="s">
        <v>873</v>
      </c>
      <c r="H741" s="140">
        <v>-9.72117130320258E-3</v>
      </c>
      <c r="I741" s="140">
        <v>-9.5343292433822877E-3</v>
      </c>
    </row>
    <row r="742" spans="1:9" s="31" customFormat="1" x14ac:dyDescent="0.25">
      <c r="A742" s="31">
        <v>362</v>
      </c>
      <c r="B742" s="31" t="s">
        <v>812</v>
      </c>
      <c r="C742" s="31" t="s">
        <v>167</v>
      </c>
      <c r="D742" s="31" t="s">
        <v>63</v>
      </c>
      <c r="E742" s="31" t="s">
        <v>63</v>
      </c>
      <c r="F742" s="31" t="s">
        <v>813</v>
      </c>
      <c r="G742" s="78" t="s">
        <v>872</v>
      </c>
      <c r="H742" s="140">
        <v>-6.4440045371485901E-3</v>
      </c>
      <c r="I742" s="140">
        <v>-6.0000000000000001E-3</v>
      </c>
    </row>
    <row r="743" spans="1:9" x14ac:dyDescent="0.25">
      <c r="A743">
        <v>364</v>
      </c>
      <c r="B743" t="s">
        <v>815</v>
      </c>
      <c r="C743" t="s">
        <v>167</v>
      </c>
      <c r="D743" t="s">
        <v>63</v>
      </c>
      <c r="E743" t="s">
        <v>63</v>
      </c>
      <c r="F743" t="s">
        <v>813</v>
      </c>
      <c r="G743" s="78" t="s">
        <v>873</v>
      </c>
      <c r="H743" s="140">
        <v>-9.4000000000000004E-3</v>
      </c>
      <c r="I743" s="140">
        <v>-6.6E-3</v>
      </c>
    </row>
    <row r="744" spans="1:9" x14ac:dyDescent="0.25">
      <c r="A744">
        <v>365</v>
      </c>
      <c r="B744" t="s">
        <v>816</v>
      </c>
      <c r="C744" t="s">
        <v>167</v>
      </c>
      <c r="D744" t="s">
        <v>63</v>
      </c>
      <c r="E744" t="s">
        <v>63</v>
      </c>
      <c r="F744" t="s">
        <v>813</v>
      </c>
      <c r="G744" s="78" t="s">
        <v>872</v>
      </c>
      <c r="H744" s="140">
        <v>-6.7000000000000002E-3</v>
      </c>
      <c r="I744" s="140">
        <v>-5.0000000000000001E-3</v>
      </c>
    </row>
    <row r="745" spans="1:9" x14ac:dyDescent="0.25">
      <c r="A745">
        <v>725</v>
      </c>
      <c r="B745" t="s">
        <v>818</v>
      </c>
      <c r="C745" t="s">
        <v>167</v>
      </c>
      <c r="D745" t="s">
        <v>63</v>
      </c>
      <c r="E745" t="s">
        <v>63</v>
      </c>
      <c r="F745" t="s">
        <v>813</v>
      </c>
      <c r="G745" s="78" t="s">
        <v>872</v>
      </c>
      <c r="H745" s="140">
        <v>-7.4364501798694724E-3</v>
      </c>
      <c r="I745" s="140">
        <v>-7.4442886335302962E-3</v>
      </c>
    </row>
    <row r="746" spans="1:9" x14ac:dyDescent="0.25">
      <c r="A746">
        <v>3026</v>
      </c>
      <c r="B746" t="s">
        <v>824</v>
      </c>
      <c r="C746" t="s">
        <v>66</v>
      </c>
      <c r="D746" t="s">
        <v>63</v>
      </c>
      <c r="E746" t="s">
        <v>63</v>
      </c>
      <c r="F746" t="s">
        <v>824</v>
      </c>
      <c r="G746" s="78" t="s">
        <v>875</v>
      </c>
      <c r="H746" s="140">
        <v>-1.8919545969935695E-3</v>
      </c>
      <c r="I746" s="140">
        <v>-3.4500000000000004E-3</v>
      </c>
    </row>
    <row r="747" spans="1:9" x14ac:dyDescent="0.25">
      <c r="A747">
        <v>636</v>
      </c>
      <c r="B747" t="s">
        <v>827</v>
      </c>
      <c r="C747" t="s">
        <v>167</v>
      </c>
      <c r="D747" t="s">
        <v>63</v>
      </c>
      <c r="E747" t="s">
        <v>63</v>
      </c>
      <c r="F747" t="s">
        <v>824</v>
      </c>
      <c r="G747" s="78" t="s">
        <v>875</v>
      </c>
      <c r="H747" s="140">
        <v>-6.7991385261511094E-3</v>
      </c>
      <c r="I747" s="140">
        <v>-6.3E-3</v>
      </c>
    </row>
    <row r="748" spans="1:9" x14ac:dyDescent="0.25">
      <c r="A748">
        <v>1065</v>
      </c>
      <c r="B748" t="s">
        <v>831</v>
      </c>
      <c r="C748" t="s">
        <v>167</v>
      </c>
      <c r="D748" t="s">
        <v>63</v>
      </c>
      <c r="E748" t="s">
        <v>63</v>
      </c>
      <c r="F748" t="s">
        <v>824</v>
      </c>
      <c r="G748" s="78" t="s">
        <v>875</v>
      </c>
      <c r="H748" s="140">
        <v>-5.7000000000000002E-3</v>
      </c>
      <c r="I748" s="140">
        <v>-5.7999999999999996E-3</v>
      </c>
    </row>
    <row r="749" spans="1:9" x14ac:dyDescent="0.25">
      <c r="A749">
        <v>1036</v>
      </c>
      <c r="B749" t="s">
        <v>829</v>
      </c>
      <c r="C749" t="s">
        <v>167</v>
      </c>
      <c r="D749" t="s">
        <v>63</v>
      </c>
      <c r="E749" t="s">
        <v>63</v>
      </c>
      <c r="F749" t="s">
        <v>824</v>
      </c>
      <c r="G749" s="78" t="s">
        <v>873</v>
      </c>
      <c r="H749" s="140">
        <v>-2.0199999999999999E-2</v>
      </c>
      <c r="I749" s="140">
        <v>-8.9999999999999993E-3</v>
      </c>
    </row>
    <row r="750" spans="1:9" x14ac:dyDescent="0.25">
      <c r="A750">
        <v>1164</v>
      </c>
      <c r="B750" t="s">
        <v>905</v>
      </c>
      <c r="C750" t="s">
        <v>167</v>
      </c>
      <c r="D750" t="s">
        <v>63</v>
      </c>
      <c r="E750" t="s">
        <v>63</v>
      </c>
      <c r="F750" t="s">
        <v>824</v>
      </c>
      <c r="G750" s="78" t="s">
        <v>874</v>
      </c>
      <c r="H750" s="140" t="s">
        <v>876</v>
      </c>
      <c r="I750" s="140"/>
    </row>
    <row r="751" spans="1:9" x14ac:dyDescent="0.25">
      <c r="A751">
        <v>1165</v>
      </c>
      <c r="B751" t="s">
        <v>860</v>
      </c>
      <c r="C751" t="s">
        <v>167</v>
      </c>
      <c r="D751" t="s">
        <v>63</v>
      </c>
      <c r="E751" t="s">
        <v>63</v>
      </c>
      <c r="F751" t="s">
        <v>824</v>
      </c>
      <c r="G751" s="78" t="s">
        <v>874</v>
      </c>
      <c r="H751" s="140" t="s">
        <v>876</v>
      </c>
      <c r="I751" s="140">
        <v>-8.6E-3</v>
      </c>
    </row>
    <row r="752" spans="1:9" x14ac:dyDescent="0.25">
      <c r="A752">
        <v>1192</v>
      </c>
      <c r="B752" t="s">
        <v>436</v>
      </c>
      <c r="C752" t="s">
        <v>167</v>
      </c>
      <c r="D752" t="s">
        <v>63</v>
      </c>
      <c r="E752" t="s">
        <v>63</v>
      </c>
      <c r="F752" t="s">
        <v>824</v>
      </c>
      <c r="G752" s="78" t="s">
        <v>872</v>
      </c>
      <c r="H752" s="140">
        <v>-1.26E-2</v>
      </c>
      <c r="I752" s="140">
        <v>-8.3999999999999995E-3</v>
      </c>
    </row>
    <row r="753" spans="1:9" x14ac:dyDescent="0.25">
      <c r="A753">
        <v>621</v>
      </c>
      <c r="B753" t="s">
        <v>825</v>
      </c>
      <c r="C753" t="s">
        <v>167</v>
      </c>
      <c r="D753" t="s">
        <v>63</v>
      </c>
      <c r="E753" t="s">
        <v>63</v>
      </c>
      <c r="F753" t="s">
        <v>824</v>
      </c>
      <c r="G753" s="78" t="s">
        <v>873</v>
      </c>
      <c r="H753" s="140">
        <v>-1.6152394783630647E-2</v>
      </c>
      <c r="I753" s="140">
        <v>-1.4500000000000001E-2</v>
      </c>
    </row>
    <row r="754" spans="1:9" x14ac:dyDescent="0.25">
      <c r="A754" s="31">
        <v>429</v>
      </c>
      <c r="B754" s="31" t="s">
        <v>823</v>
      </c>
      <c r="C754" t="s">
        <v>167</v>
      </c>
      <c r="D754" t="s">
        <v>63</v>
      </c>
      <c r="E754" t="s">
        <v>63</v>
      </c>
      <c r="F754" t="s">
        <v>824</v>
      </c>
      <c r="G754" s="78" t="s">
        <v>873</v>
      </c>
      <c r="H754" s="140">
        <v>-1.44E-2</v>
      </c>
      <c r="I754" s="140">
        <v>-1.06E-2</v>
      </c>
    </row>
    <row r="755" spans="1:9" s="31" customFormat="1" x14ac:dyDescent="0.25">
      <c r="A755" s="31">
        <v>634</v>
      </c>
      <c r="B755" s="31" t="s">
        <v>826</v>
      </c>
      <c r="C755" s="31" t="s">
        <v>167</v>
      </c>
      <c r="D755" s="31" t="s">
        <v>63</v>
      </c>
      <c r="E755" s="31" t="s">
        <v>63</v>
      </c>
      <c r="F755" s="31" t="s">
        <v>824</v>
      </c>
      <c r="G755" s="78" t="s">
        <v>872</v>
      </c>
      <c r="H755" s="140">
        <v>-3.5407972351276414E-3</v>
      </c>
      <c r="I755" s="140">
        <v>-4.5374219136128319E-3</v>
      </c>
    </row>
    <row r="756" spans="1:9" x14ac:dyDescent="0.25">
      <c r="A756" s="31">
        <v>671</v>
      </c>
      <c r="B756" s="31" t="s">
        <v>828</v>
      </c>
      <c r="C756" s="31" t="s">
        <v>167</v>
      </c>
      <c r="D756" s="31" t="s">
        <v>63</v>
      </c>
      <c r="E756" s="31" t="s">
        <v>63</v>
      </c>
      <c r="F756" s="31" t="s">
        <v>824</v>
      </c>
      <c r="G756" s="78" t="s">
        <v>872</v>
      </c>
      <c r="H756" s="140">
        <v>-1.4660682724155409E-2</v>
      </c>
      <c r="I756" s="140">
        <v>-1.295225557361649E-2</v>
      </c>
    </row>
    <row r="757" spans="1:9" x14ac:dyDescent="0.25">
      <c r="A757">
        <v>1064</v>
      </c>
      <c r="B757" t="s">
        <v>830</v>
      </c>
      <c r="C757" t="s">
        <v>167</v>
      </c>
      <c r="D757" t="s">
        <v>63</v>
      </c>
      <c r="E757" s="31" t="s">
        <v>63</v>
      </c>
      <c r="F757" t="s">
        <v>824</v>
      </c>
      <c r="G757" s="78" t="s">
        <v>872</v>
      </c>
      <c r="H757" s="140">
        <v>-6.1000000000000004E-3</v>
      </c>
      <c r="I757" s="140">
        <v>-4.4999999999999997E-3</v>
      </c>
    </row>
    <row r="758" spans="1:9" x14ac:dyDescent="0.25">
      <c r="A758">
        <v>1100</v>
      </c>
      <c r="B758" t="s">
        <v>832</v>
      </c>
      <c r="C758" t="s">
        <v>167</v>
      </c>
      <c r="D758" t="s">
        <v>63</v>
      </c>
      <c r="E758" s="31" t="s">
        <v>63</v>
      </c>
      <c r="F758" t="s">
        <v>824</v>
      </c>
      <c r="G758" s="78" t="s">
        <v>872</v>
      </c>
      <c r="H758" s="140">
        <v>-1.0200000000000001E-2</v>
      </c>
      <c r="I758" s="140">
        <v>-9.2999999999999992E-3</v>
      </c>
    </row>
  </sheetData>
  <sortState ref="A6:I758">
    <sortCondition ref="E6:E758"/>
    <sortCondition ref="F6:F758"/>
  </sortState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Named Ranges</vt:lpstr>
      </vt:variant>
      <vt:variant>
        <vt:i4>1</vt:i4>
      </vt:variant>
    </vt:vector>
  </HeadingPairs>
  <TitlesOfParts>
    <vt:vector size="4" baseType="lpstr">
      <vt:lpstr>Master</vt:lpstr>
      <vt:lpstr>Investigations by Region</vt:lpstr>
      <vt:lpstr>Alignment - No Action Needed</vt:lpstr>
      <vt:lpstr>Master!Print_Area</vt:lpstr>
    </vt:vector>
  </TitlesOfParts>
  <Company>Dick's Sporting Goods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Krah, Mary Jo</dc:creator>
  <cp:lastModifiedBy>Gillette, Jacob J</cp:lastModifiedBy>
  <cp:lastPrinted>2015-01-30T18:21:16Z</cp:lastPrinted>
  <dcterms:created xsi:type="dcterms:W3CDTF">2012-04-24T13:13:04Z</dcterms:created>
  <dcterms:modified xsi:type="dcterms:W3CDTF">2015-07-09T22:27:51Z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SV_QUERY_LIST_4F35BF76-6C0D-4D9B-82B2-816C12CF3733">
    <vt:lpwstr>empty_477D106A-C0D6-4607-AEBD-E2C9D60EA279</vt:lpwstr>
  </property>
</Properties>
</file>