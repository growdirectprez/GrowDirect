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eoff\Documents\"/>
    </mc:Choice>
  </mc:AlternateContent>
  <bookViews>
    <workbookView xWindow="0" yWindow="0" windowWidth="20460" windowHeight="7680" tabRatio="500" activeTab="2"/>
  </bookViews>
  <sheets>
    <sheet name="DSD Summary Master" sheetId="2" r:id="rId1"/>
    <sheet name="DSD Annual Summary" sheetId="1" r:id="rId2"/>
    <sheet name="Glossary" sheetId="3" r:id="rId3"/>
  </sheets>
  <calcPr calcId="171027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AI79" i="2" l="1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M11" i="2"/>
  <c r="U12" i="2"/>
  <c r="U11" i="2"/>
  <c r="T12" i="2"/>
  <c r="T11" i="2"/>
  <c r="S12" i="2"/>
  <c r="S11" i="2"/>
  <c r="K12" i="2"/>
  <c r="K11" i="2"/>
  <c r="J12" i="2"/>
  <c r="J11" i="2"/>
  <c r="I12" i="2"/>
  <c r="I11" i="2"/>
  <c r="U108" i="2"/>
  <c r="T108" i="2"/>
  <c r="S108" i="2"/>
  <c r="K108" i="2"/>
  <c r="J108" i="2"/>
  <c r="I108" i="2"/>
  <c r="U107" i="2"/>
  <c r="T107" i="2"/>
  <c r="S107" i="2"/>
  <c r="K107" i="2"/>
  <c r="J107" i="2"/>
  <c r="I107" i="2"/>
  <c r="U105" i="2"/>
  <c r="T105" i="2"/>
  <c r="X105" i="2" s="1"/>
  <c r="S105" i="2"/>
  <c r="K105" i="2"/>
  <c r="J105" i="2"/>
  <c r="I105" i="2"/>
  <c r="C105" i="2"/>
  <c r="AJ104" i="2"/>
  <c r="AI104" i="2"/>
  <c r="AH104" i="2"/>
  <c r="Y104" i="2"/>
  <c r="X104" i="2"/>
  <c r="W104" i="2"/>
  <c r="O104" i="2"/>
  <c r="N104" i="2"/>
  <c r="AC104" i="2" s="1"/>
  <c r="AD104" i="2" s="1"/>
  <c r="M104" i="2"/>
  <c r="AJ103" i="2"/>
  <c r="AI103" i="2"/>
  <c r="AH103" i="2"/>
  <c r="Y103" i="2"/>
  <c r="X103" i="2"/>
  <c r="W103" i="2"/>
  <c r="O103" i="2"/>
  <c r="N103" i="2"/>
  <c r="AC103" i="2" s="1"/>
  <c r="AD103" i="2" s="1"/>
  <c r="M103" i="2"/>
  <c r="AJ102" i="2"/>
  <c r="AI102" i="2"/>
  <c r="AH102" i="2"/>
  <c r="Y102" i="2"/>
  <c r="X102" i="2"/>
  <c r="W102" i="2"/>
  <c r="O102" i="2"/>
  <c r="N102" i="2"/>
  <c r="M102" i="2"/>
  <c r="AJ101" i="2"/>
  <c r="AI101" i="2"/>
  <c r="AH101" i="2"/>
  <c r="Y101" i="2"/>
  <c r="X101" i="2"/>
  <c r="W101" i="2"/>
  <c r="O101" i="2"/>
  <c r="N101" i="2"/>
  <c r="M101" i="2"/>
  <c r="AJ100" i="2"/>
  <c r="AI100" i="2"/>
  <c r="AH100" i="2"/>
  <c r="AC100" i="2"/>
  <c r="AD100" i="2" s="1"/>
  <c r="Y100" i="2"/>
  <c r="X100" i="2"/>
  <c r="W100" i="2"/>
  <c r="O100" i="2"/>
  <c r="N100" i="2"/>
  <c r="M100" i="2"/>
  <c r="O99" i="2"/>
  <c r="N99" i="2"/>
  <c r="AD99" i="2" s="1"/>
  <c r="M99" i="2"/>
  <c r="AJ98" i="2"/>
  <c r="AI98" i="2"/>
  <c r="AH98" i="2"/>
  <c r="Y98" i="2"/>
  <c r="X98" i="2"/>
  <c r="W98" i="2"/>
  <c r="O98" i="2"/>
  <c r="N98" i="2"/>
  <c r="AC98" i="2" s="1"/>
  <c r="AD98" i="2" s="1"/>
  <c r="M98" i="2"/>
  <c r="AJ97" i="2"/>
  <c r="AI97" i="2"/>
  <c r="AH97" i="2"/>
  <c r="Y97" i="2"/>
  <c r="X97" i="2"/>
  <c r="AC97" i="2" s="1"/>
  <c r="AD97" i="2" s="1"/>
  <c r="W97" i="2"/>
  <c r="O97" i="2"/>
  <c r="N97" i="2"/>
  <c r="M97" i="2"/>
  <c r="AJ96" i="2"/>
  <c r="AI96" i="2"/>
  <c r="AH96" i="2"/>
  <c r="Y96" i="2"/>
  <c r="X96" i="2"/>
  <c r="W96" i="2"/>
  <c r="O96" i="2"/>
  <c r="N96" i="2"/>
  <c r="M96" i="2"/>
  <c r="AJ95" i="2"/>
  <c r="AI95" i="2"/>
  <c r="AH95" i="2"/>
  <c r="AC95" i="2"/>
  <c r="AD95" i="2" s="1"/>
  <c r="Y95" i="2"/>
  <c r="X95" i="2"/>
  <c r="W95" i="2"/>
  <c r="O95" i="2"/>
  <c r="N95" i="2"/>
  <c r="M95" i="2"/>
  <c r="U90" i="2"/>
  <c r="T90" i="2"/>
  <c r="X90" i="2" s="1"/>
  <c r="S90" i="2"/>
  <c r="K90" i="2"/>
  <c r="J90" i="2"/>
  <c r="N90" i="2" s="1"/>
  <c r="I90" i="2"/>
  <c r="AH90" i="2" s="1"/>
  <c r="C90" i="2"/>
  <c r="AJ52" i="2"/>
  <c r="AH52" i="2"/>
  <c r="Y52" i="2"/>
  <c r="X52" i="2"/>
  <c r="W52" i="2"/>
  <c r="O52" i="2"/>
  <c r="N52" i="2"/>
  <c r="M52" i="2"/>
  <c r="O88" i="2"/>
  <c r="N88" i="2"/>
  <c r="M88" i="2"/>
  <c r="AJ65" i="2"/>
  <c r="AH65" i="2"/>
  <c r="Y65" i="2"/>
  <c r="X65" i="2"/>
  <c r="W65" i="2"/>
  <c r="O65" i="2"/>
  <c r="N65" i="2"/>
  <c r="M65" i="2"/>
  <c r="AJ61" i="2"/>
  <c r="AH61" i="2"/>
  <c r="Y61" i="2"/>
  <c r="X61" i="2"/>
  <c r="W61" i="2"/>
  <c r="O61" i="2"/>
  <c r="N61" i="2"/>
  <c r="M61" i="2"/>
  <c r="AJ66" i="2"/>
  <c r="AH66" i="2"/>
  <c r="Y66" i="2"/>
  <c r="X66" i="2"/>
  <c r="W66" i="2"/>
  <c r="O66" i="2"/>
  <c r="N66" i="2"/>
  <c r="M66" i="2"/>
  <c r="AJ53" i="2"/>
  <c r="AH53" i="2"/>
  <c r="Y53" i="2"/>
  <c r="X53" i="2"/>
  <c r="W53" i="2"/>
  <c r="O53" i="2"/>
  <c r="N53" i="2"/>
  <c r="M53" i="2"/>
  <c r="AJ36" i="2"/>
  <c r="AH36" i="2"/>
  <c r="Y36" i="2"/>
  <c r="X36" i="2"/>
  <c r="W36" i="2"/>
  <c r="O36" i="2"/>
  <c r="N36" i="2"/>
  <c r="M36" i="2"/>
  <c r="AJ37" i="2"/>
  <c r="AH37" i="2"/>
  <c r="Y37" i="2"/>
  <c r="X37" i="2"/>
  <c r="W37" i="2"/>
  <c r="O37" i="2"/>
  <c r="N37" i="2"/>
  <c r="M37" i="2"/>
  <c r="AJ23" i="2"/>
  <c r="AH23" i="2"/>
  <c r="Y23" i="2"/>
  <c r="X23" i="2"/>
  <c r="W23" i="2"/>
  <c r="O23" i="2"/>
  <c r="N23" i="2"/>
  <c r="M23" i="2"/>
  <c r="AJ64" i="2"/>
  <c r="AH64" i="2"/>
  <c r="Y64" i="2"/>
  <c r="X64" i="2"/>
  <c r="W64" i="2"/>
  <c r="O64" i="2"/>
  <c r="N64" i="2"/>
  <c r="M64" i="2"/>
  <c r="AJ74" i="2"/>
  <c r="AH74" i="2"/>
  <c r="Y74" i="2"/>
  <c r="X74" i="2"/>
  <c r="W74" i="2"/>
  <c r="O74" i="2"/>
  <c r="N74" i="2"/>
  <c r="M74" i="2"/>
  <c r="AJ34" i="2"/>
  <c r="AH34" i="2"/>
  <c r="Y34" i="2"/>
  <c r="X34" i="2"/>
  <c r="AC34" i="2" s="1"/>
  <c r="AD34" i="2" s="1"/>
  <c r="W34" i="2"/>
  <c r="O34" i="2"/>
  <c r="N34" i="2"/>
  <c r="M34" i="2"/>
  <c r="AJ69" i="2"/>
  <c r="AH69" i="2"/>
  <c r="Y69" i="2"/>
  <c r="X69" i="2"/>
  <c r="W69" i="2"/>
  <c r="O69" i="2"/>
  <c r="N69" i="2"/>
  <c r="M69" i="2"/>
  <c r="AJ20" i="2"/>
  <c r="AH20" i="2"/>
  <c r="Y20" i="2"/>
  <c r="X20" i="2"/>
  <c r="W20" i="2"/>
  <c r="O20" i="2"/>
  <c r="N20" i="2"/>
  <c r="M20" i="2"/>
  <c r="AJ55" i="2"/>
  <c r="AH55" i="2"/>
  <c r="Y55" i="2"/>
  <c r="X55" i="2"/>
  <c r="W55" i="2"/>
  <c r="O55" i="2"/>
  <c r="N55" i="2"/>
  <c r="M55" i="2"/>
  <c r="AJ49" i="2"/>
  <c r="AH49" i="2"/>
  <c r="Y49" i="2"/>
  <c r="X49" i="2"/>
  <c r="W49" i="2"/>
  <c r="O49" i="2"/>
  <c r="N49" i="2"/>
  <c r="M49" i="2"/>
  <c r="O89" i="2"/>
  <c r="N89" i="2"/>
  <c r="M89" i="2"/>
  <c r="AJ27" i="2"/>
  <c r="AH27" i="2"/>
  <c r="Y27" i="2"/>
  <c r="X27" i="2"/>
  <c r="W27" i="2"/>
  <c r="O27" i="2"/>
  <c r="N27" i="2"/>
  <c r="M27" i="2"/>
  <c r="AJ39" i="2"/>
  <c r="AH39" i="2"/>
  <c r="Y39" i="2"/>
  <c r="X39" i="2"/>
  <c r="W39" i="2"/>
  <c r="O39" i="2"/>
  <c r="N39" i="2"/>
  <c r="M39" i="2"/>
  <c r="AJ29" i="2"/>
  <c r="AH29" i="2"/>
  <c r="Y29" i="2"/>
  <c r="X29" i="2"/>
  <c r="W29" i="2"/>
  <c r="O29" i="2"/>
  <c r="N29" i="2"/>
  <c r="AC29" i="2" s="1"/>
  <c r="AD29" i="2" s="1"/>
  <c r="M29" i="2"/>
  <c r="O87" i="2"/>
  <c r="N87" i="2"/>
  <c r="M87" i="2"/>
  <c r="AJ24" i="2"/>
  <c r="AH24" i="2"/>
  <c r="Y24" i="2"/>
  <c r="X24" i="2"/>
  <c r="W24" i="2"/>
  <c r="O24" i="2"/>
  <c r="N24" i="2"/>
  <c r="M24" i="2"/>
  <c r="AJ63" i="2"/>
  <c r="AH63" i="2"/>
  <c r="Y63" i="2"/>
  <c r="X63" i="2"/>
  <c r="W63" i="2"/>
  <c r="O63" i="2"/>
  <c r="N63" i="2"/>
  <c r="M63" i="2"/>
  <c r="AJ59" i="2"/>
  <c r="AH59" i="2"/>
  <c r="Y59" i="2"/>
  <c r="X59" i="2"/>
  <c r="W59" i="2"/>
  <c r="O59" i="2"/>
  <c r="N59" i="2"/>
  <c r="M59" i="2"/>
  <c r="O86" i="2"/>
  <c r="N86" i="2"/>
  <c r="M86" i="2"/>
  <c r="O85" i="2"/>
  <c r="N85" i="2"/>
  <c r="M85" i="2"/>
  <c r="AJ70" i="2"/>
  <c r="AH70" i="2"/>
  <c r="Y70" i="2"/>
  <c r="X70" i="2"/>
  <c r="W70" i="2"/>
  <c r="O70" i="2"/>
  <c r="N70" i="2"/>
  <c r="M70" i="2"/>
  <c r="AJ25" i="2"/>
  <c r="AH25" i="2"/>
  <c r="Y25" i="2"/>
  <c r="X25" i="2"/>
  <c r="W25" i="2"/>
  <c r="O25" i="2"/>
  <c r="N25" i="2"/>
  <c r="M25" i="2"/>
  <c r="AJ60" i="2"/>
  <c r="AH60" i="2"/>
  <c r="Y60" i="2"/>
  <c r="X60" i="2"/>
  <c r="W60" i="2"/>
  <c r="O60" i="2"/>
  <c r="N60" i="2"/>
  <c r="AC60" i="2" s="1"/>
  <c r="AD60" i="2" s="1"/>
  <c r="M60" i="2"/>
  <c r="AJ67" i="2"/>
  <c r="AH67" i="2"/>
  <c r="Y67" i="2"/>
  <c r="X67" i="2"/>
  <c r="W67" i="2"/>
  <c r="O67" i="2"/>
  <c r="N67" i="2"/>
  <c r="AC67" i="2" s="1"/>
  <c r="AD67" i="2" s="1"/>
  <c r="M67" i="2"/>
  <c r="AJ17" i="2"/>
  <c r="AH17" i="2"/>
  <c r="Y17" i="2"/>
  <c r="X17" i="2"/>
  <c r="W17" i="2"/>
  <c r="O17" i="2"/>
  <c r="N17" i="2"/>
  <c r="M17" i="2"/>
  <c r="AJ38" i="2"/>
  <c r="AH38" i="2"/>
  <c r="Y38" i="2"/>
  <c r="X38" i="2"/>
  <c r="W38" i="2"/>
  <c r="O38" i="2"/>
  <c r="N38" i="2"/>
  <c r="AC38" i="2" s="1"/>
  <c r="AD38" i="2" s="1"/>
  <c r="M38" i="2"/>
  <c r="AJ33" i="2"/>
  <c r="AH33" i="2"/>
  <c r="Y33" i="2"/>
  <c r="X33" i="2"/>
  <c r="W33" i="2"/>
  <c r="O33" i="2"/>
  <c r="N33" i="2"/>
  <c r="M33" i="2"/>
  <c r="AJ45" i="2"/>
  <c r="AH45" i="2"/>
  <c r="Y45" i="2"/>
  <c r="X45" i="2"/>
  <c r="W45" i="2"/>
  <c r="O45" i="2"/>
  <c r="N45" i="2"/>
  <c r="M45" i="2"/>
  <c r="AJ30" i="2"/>
  <c r="AH30" i="2"/>
  <c r="Y30" i="2"/>
  <c r="X30" i="2"/>
  <c r="W30" i="2"/>
  <c r="O30" i="2"/>
  <c r="N30" i="2"/>
  <c r="AC30" i="2" s="1"/>
  <c r="AD30" i="2" s="1"/>
  <c r="M30" i="2"/>
  <c r="AJ57" i="2"/>
  <c r="AH57" i="2"/>
  <c r="Y57" i="2"/>
  <c r="X57" i="2"/>
  <c r="W57" i="2"/>
  <c r="O57" i="2"/>
  <c r="N57" i="2"/>
  <c r="AC57" i="2" s="1"/>
  <c r="AD57" i="2" s="1"/>
  <c r="M57" i="2"/>
  <c r="AJ41" i="2"/>
  <c r="AH41" i="2"/>
  <c r="Y41" i="2"/>
  <c r="X41" i="2"/>
  <c r="W41" i="2"/>
  <c r="O41" i="2"/>
  <c r="N41" i="2"/>
  <c r="M41" i="2"/>
  <c r="AJ40" i="2"/>
  <c r="AH40" i="2"/>
  <c r="Y40" i="2"/>
  <c r="X40" i="2"/>
  <c r="W40" i="2"/>
  <c r="O40" i="2"/>
  <c r="N40" i="2"/>
  <c r="M40" i="2"/>
  <c r="AJ19" i="2"/>
  <c r="AH19" i="2"/>
  <c r="Y19" i="2"/>
  <c r="X19" i="2"/>
  <c r="W19" i="2"/>
  <c r="O19" i="2"/>
  <c r="N19" i="2"/>
  <c r="AC19" i="2" s="1"/>
  <c r="AD19" i="2" s="1"/>
  <c r="M19" i="2"/>
  <c r="O84" i="2"/>
  <c r="N84" i="2"/>
  <c r="M84" i="2"/>
  <c r="AJ54" i="2"/>
  <c r="AH54" i="2"/>
  <c r="Y54" i="2"/>
  <c r="X54" i="2"/>
  <c r="W54" i="2"/>
  <c r="O54" i="2"/>
  <c r="N54" i="2"/>
  <c r="M54" i="2"/>
  <c r="AJ77" i="2"/>
  <c r="AH77" i="2"/>
  <c r="Y77" i="2"/>
  <c r="X77" i="2"/>
  <c r="W77" i="2"/>
  <c r="O77" i="2"/>
  <c r="N77" i="2"/>
  <c r="M77" i="2"/>
  <c r="AJ22" i="2"/>
  <c r="AH22" i="2"/>
  <c r="Y22" i="2"/>
  <c r="X22" i="2"/>
  <c r="W22" i="2"/>
  <c r="O22" i="2"/>
  <c r="N22" i="2"/>
  <c r="M22" i="2"/>
  <c r="AJ78" i="2"/>
  <c r="AH78" i="2"/>
  <c r="Y78" i="2"/>
  <c r="X78" i="2"/>
  <c r="W78" i="2"/>
  <c r="O78" i="2"/>
  <c r="N78" i="2"/>
  <c r="M78" i="2"/>
  <c r="AJ32" i="2"/>
  <c r="AH32" i="2"/>
  <c r="Y32" i="2"/>
  <c r="X32" i="2"/>
  <c r="W32" i="2"/>
  <c r="O32" i="2"/>
  <c r="N32" i="2"/>
  <c r="M32" i="2"/>
  <c r="AJ56" i="2"/>
  <c r="AH56" i="2"/>
  <c r="Y56" i="2"/>
  <c r="X56" i="2"/>
  <c r="W56" i="2"/>
  <c r="O56" i="2"/>
  <c r="N56" i="2"/>
  <c r="M56" i="2"/>
  <c r="AJ73" i="2"/>
  <c r="AH73" i="2"/>
  <c r="Y73" i="2"/>
  <c r="X73" i="2"/>
  <c r="W73" i="2"/>
  <c r="O73" i="2"/>
  <c r="N73" i="2"/>
  <c r="M73" i="2"/>
  <c r="O83" i="2"/>
  <c r="N83" i="2"/>
  <c r="M83" i="2"/>
  <c r="AJ47" i="2"/>
  <c r="AH47" i="2"/>
  <c r="Y47" i="2"/>
  <c r="X47" i="2"/>
  <c r="W47" i="2"/>
  <c r="O47" i="2"/>
  <c r="N47" i="2"/>
  <c r="M47" i="2"/>
  <c r="AJ28" i="2"/>
  <c r="AH28" i="2"/>
  <c r="Y28" i="2"/>
  <c r="X28" i="2"/>
  <c r="W28" i="2"/>
  <c r="O28" i="2"/>
  <c r="N28" i="2"/>
  <c r="M28" i="2"/>
  <c r="AJ26" i="2"/>
  <c r="AH26" i="2"/>
  <c r="Y26" i="2"/>
  <c r="X26" i="2"/>
  <c r="W26" i="2"/>
  <c r="O26" i="2"/>
  <c r="N26" i="2"/>
  <c r="M26" i="2"/>
  <c r="AJ75" i="2"/>
  <c r="AH75" i="2"/>
  <c r="Y75" i="2"/>
  <c r="X75" i="2"/>
  <c r="W75" i="2"/>
  <c r="O75" i="2"/>
  <c r="N75" i="2"/>
  <c r="M75" i="2"/>
  <c r="AJ76" i="2"/>
  <c r="AH76" i="2"/>
  <c r="Y76" i="2"/>
  <c r="X76" i="2"/>
  <c r="W76" i="2"/>
  <c r="O76" i="2"/>
  <c r="N76" i="2"/>
  <c r="M76" i="2"/>
  <c r="AJ51" i="2"/>
  <c r="AH51" i="2"/>
  <c r="Y51" i="2"/>
  <c r="X51" i="2"/>
  <c r="W51" i="2"/>
  <c r="O51" i="2"/>
  <c r="N51" i="2"/>
  <c r="M51" i="2"/>
  <c r="AJ35" i="2"/>
  <c r="AH35" i="2"/>
  <c r="Y35" i="2"/>
  <c r="X35" i="2"/>
  <c r="W35" i="2"/>
  <c r="O35" i="2"/>
  <c r="N35" i="2"/>
  <c r="M35" i="2"/>
  <c r="AJ72" i="2"/>
  <c r="AH72" i="2"/>
  <c r="Y72" i="2"/>
  <c r="X72" i="2"/>
  <c r="W72" i="2"/>
  <c r="O72" i="2"/>
  <c r="N72" i="2"/>
  <c r="M72" i="2"/>
  <c r="O82" i="2"/>
  <c r="N82" i="2"/>
  <c r="M82" i="2"/>
  <c r="O81" i="2"/>
  <c r="N81" i="2"/>
  <c r="M81" i="2"/>
  <c r="O80" i="2"/>
  <c r="N80" i="2"/>
  <c r="M80" i="2"/>
  <c r="AJ21" i="2"/>
  <c r="AH21" i="2"/>
  <c r="Y21" i="2"/>
  <c r="X21" i="2"/>
  <c r="W21" i="2"/>
  <c r="O21" i="2"/>
  <c r="N21" i="2"/>
  <c r="AC21" i="2" s="1"/>
  <c r="AD21" i="2" s="1"/>
  <c r="M21" i="2"/>
  <c r="AJ18" i="2"/>
  <c r="AH18" i="2"/>
  <c r="Y18" i="2"/>
  <c r="X18" i="2"/>
  <c r="W18" i="2"/>
  <c r="O18" i="2"/>
  <c r="N18" i="2"/>
  <c r="M18" i="2"/>
  <c r="AJ31" i="2"/>
  <c r="AH31" i="2"/>
  <c r="Y31" i="2"/>
  <c r="X31" i="2"/>
  <c r="W31" i="2"/>
  <c r="O31" i="2"/>
  <c r="N31" i="2"/>
  <c r="M31" i="2"/>
  <c r="AJ71" i="2"/>
  <c r="AH71" i="2"/>
  <c r="Y71" i="2"/>
  <c r="X71" i="2"/>
  <c r="W71" i="2"/>
  <c r="O71" i="2"/>
  <c r="N71" i="2"/>
  <c r="AC71" i="2" s="1"/>
  <c r="AD71" i="2" s="1"/>
  <c r="M71" i="2"/>
  <c r="AJ68" i="2"/>
  <c r="AH68" i="2"/>
  <c r="Y68" i="2"/>
  <c r="X68" i="2"/>
  <c r="W68" i="2"/>
  <c r="O68" i="2"/>
  <c r="N68" i="2"/>
  <c r="AC68" i="2" s="1"/>
  <c r="AD68" i="2" s="1"/>
  <c r="M68" i="2"/>
  <c r="AJ46" i="2"/>
  <c r="AH46" i="2"/>
  <c r="Y46" i="2"/>
  <c r="X46" i="2"/>
  <c r="W46" i="2"/>
  <c r="O46" i="2"/>
  <c r="N46" i="2"/>
  <c r="M46" i="2"/>
  <c r="AJ16" i="2"/>
  <c r="AH16" i="2"/>
  <c r="Y16" i="2"/>
  <c r="Y107" i="2" s="1"/>
  <c r="X16" i="2"/>
  <c r="W16" i="2"/>
  <c r="O16" i="2"/>
  <c r="O107" i="2" s="1"/>
  <c r="N16" i="2"/>
  <c r="N107" i="2" s="1"/>
  <c r="M16" i="2"/>
  <c r="AJ44" i="2"/>
  <c r="AH44" i="2"/>
  <c r="Y44" i="2"/>
  <c r="X44" i="2"/>
  <c r="W44" i="2"/>
  <c r="O44" i="2"/>
  <c r="N44" i="2"/>
  <c r="M44" i="2"/>
  <c r="AJ48" i="2"/>
  <c r="AH48" i="2"/>
  <c r="Y48" i="2"/>
  <c r="X48" i="2"/>
  <c r="W48" i="2"/>
  <c r="O48" i="2"/>
  <c r="N48" i="2"/>
  <c r="AC48" i="2" s="1"/>
  <c r="AD48" i="2" s="1"/>
  <c r="M48" i="2"/>
  <c r="AJ42" i="2"/>
  <c r="AH42" i="2"/>
  <c r="Y42" i="2"/>
  <c r="X42" i="2"/>
  <c r="W42" i="2"/>
  <c r="O42" i="2"/>
  <c r="N42" i="2"/>
  <c r="M42" i="2"/>
  <c r="AJ43" i="2"/>
  <c r="AH43" i="2"/>
  <c r="Y43" i="2"/>
  <c r="X43" i="2"/>
  <c r="W43" i="2"/>
  <c r="O43" i="2"/>
  <c r="N43" i="2"/>
  <c r="M43" i="2"/>
  <c r="AJ50" i="2"/>
  <c r="AH50" i="2"/>
  <c r="Y50" i="2"/>
  <c r="X50" i="2"/>
  <c r="W50" i="2"/>
  <c r="O50" i="2"/>
  <c r="N50" i="2"/>
  <c r="M50" i="2"/>
  <c r="AJ58" i="2"/>
  <c r="AH58" i="2"/>
  <c r="AC58" i="2"/>
  <c r="AD58" i="2" s="1"/>
  <c r="Y58" i="2"/>
  <c r="X58" i="2"/>
  <c r="W58" i="2"/>
  <c r="O58" i="2"/>
  <c r="O12" i="2" s="1"/>
  <c r="N58" i="2"/>
  <c r="M58" i="2"/>
  <c r="AH79" i="2"/>
  <c r="W79" i="2"/>
  <c r="O79" i="2"/>
  <c r="N79" i="2"/>
  <c r="M79" i="2"/>
  <c r="AJ62" i="2"/>
  <c r="AH62" i="2"/>
  <c r="Y62" i="2"/>
  <c r="X62" i="2"/>
  <c r="W62" i="2"/>
  <c r="O62" i="2"/>
  <c r="N62" i="2"/>
  <c r="M62" i="2"/>
  <c r="N24" i="1"/>
  <c r="N28" i="1"/>
  <c r="N29" i="1"/>
  <c r="N30" i="1"/>
  <c r="X24" i="1"/>
  <c r="X28" i="1"/>
  <c r="X29" i="1"/>
  <c r="X30" i="1"/>
  <c r="X35" i="1"/>
  <c r="X39" i="1"/>
  <c r="X40" i="1"/>
  <c r="X45" i="1"/>
  <c r="X47" i="1"/>
  <c r="N35" i="1"/>
  <c r="N39" i="1"/>
  <c r="N40" i="1"/>
  <c r="AC40" i="1" s="1"/>
  <c r="AD40" i="1" s="1"/>
  <c r="N45" i="1"/>
  <c r="N47" i="1"/>
  <c r="N51" i="1"/>
  <c r="N55" i="1"/>
  <c r="N57" i="1"/>
  <c r="N59" i="1"/>
  <c r="N62" i="1"/>
  <c r="N68" i="1"/>
  <c r="N70" i="1"/>
  <c r="N72" i="1"/>
  <c r="N76" i="1"/>
  <c r="N78" i="1"/>
  <c r="X52" i="1"/>
  <c r="X104" i="1"/>
  <c r="X103" i="1"/>
  <c r="X102" i="1"/>
  <c r="X101" i="1"/>
  <c r="X100" i="1"/>
  <c r="X98" i="1"/>
  <c r="X97" i="1"/>
  <c r="X96" i="1"/>
  <c r="W104" i="1"/>
  <c r="W103" i="1"/>
  <c r="W102" i="1"/>
  <c r="W101" i="1"/>
  <c r="W100" i="1"/>
  <c r="W98" i="1"/>
  <c r="W97" i="1"/>
  <c r="W96" i="1"/>
  <c r="X95" i="1"/>
  <c r="W95" i="1"/>
  <c r="AJ108" i="1"/>
  <c r="AI108" i="1"/>
  <c r="AH108" i="1"/>
  <c r="AJ107" i="1"/>
  <c r="AI107" i="1"/>
  <c r="AH107" i="1"/>
  <c r="C105" i="1"/>
  <c r="AJ104" i="1"/>
  <c r="AI104" i="1"/>
  <c r="AH104" i="1"/>
  <c r="AJ103" i="1"/>
  <c r="AI103" i="1"/>
  <c r="AH103" i="1"/>
  <c r="AJ102" i="1"/>
  <c r="AI102" i="1"/>
  <c r="AH102" i="1"/>
  <c r="AJ101" i="1"/>
  <c r="AI101" i="1"/>
  <c r="AH101" i="1"/>
  <c r="AJ100" i="1"/>
  <c r="AI100" i="1"/>
  <c r="AH100" i="1"/>
  <c r="AJ98" i="1"/>
  <c r="AI98" i="1"/>
  <c r="AH98" i="1"/>
  <c r="AJ97" i="1"/>
  <c r="AI97" i="1"/>
  <c r="AH97" i="1"/>
  <c r="AJ96" i="1"/>
  <c r="AI96" i="1"/>
  <c r="AH96" i="1"/>
  <c r="AJ95" i="1"/>
  <c r="AI95" i="1"/>
  <c r="AH95" i="1"/>
  <c r="Y104" i="1"/>
  <c r="Y103" i="1"/>
  <c r="Y102" i="1"/>
  <c r="Y101" i="1"/>
  <c r="Y100" i="1"/>
  <c r="Y98" i="1"/>
  <c r="Y97" i="1"/>
  <c r="Y96" i="1"/>
  <c r="Y95" i="1"/>
  <c r="O104" i="1"/>
  <c r="N104" i="1"/>
  <c r="AC104" i="1" s="1"/>
  <c r="AD104" i="1" s="1"/>
  <c r="M104" i="1"/>
  <c r="O103" i="1"/>
  <c r="N103" i="1"/>
  <c r="AC103" i="1" s="1"/>
  <c r="AD103" i="1" s="1"/>
  <c r="M103" i="1"/>
  <c r="O102" i="1"/>
  <c r="N102" i="1"/>
  <c r="M102" i="1"/>
  <c r="O101" i="1"/>
  <c r="N101" i="1"/>
  <c r="M101" i="1"/>
  <c r="O100" i="1"/>
  <c r="N100" i="1"/>
  <c r="M100" i="1"/>
  <c r="O99" i="1"/>
  <c r="N99" i="1"/>
  <c r="AD99" i="1" s="1"/>
  <c r="M99" i="1"/>
  <c r="O98" i="1"/>
  <c r="N98" i="1"/>
  <c r="AC98" i="1" s="1"/>
  <c r="AD98" i="1" s="1"/>
  <c r="M98" i="1"/>
  <c r="O97" i="1"/>
  <c r="N97" i="1"/>
  <c r="AC97" i="1" s="1"/>
  <c r="AD97" i="1" s="1"/>
  <c r="M97" i="1"/>
  <c r="O96" i="1"/>
  <c r="N96" i="1"/>
  <c r="AC96" i="1" s="1"/>
  <c r="AD96" i="1" s="1"/>
  <c r="M96" i="1"/>
  <c r="O95" i="1"/>
  <c r="N95" i="1"/>
  <c r="M95" i="1"/>
  <c r="U105" i="1"/>
  <c r="T105" i="1"/>
  <c r="S105" i="1"/>
  <c r="AH105" i="1" s="1"/>
  <c r="K105" i="1"/>
  <c r="O105" i="1" s="1"/>
  <c r="J105" i="1"/>
  <c r="M105" i="1" s="1"/>
  <c r="I105" i="1"/>
  <c r="C90" i="1"/>
  <c r="U90" i="1"/>
  <c r="Y90" i="1" s="1"/>
  <c r="T90" i="1"/>
  <c r="X90" i="1" s="1"/>
  <c r="S90" i="1"/>
  <c r="N90" i="1"/>
  <c r="AC90" i="1" s="1"/>
  <c r="AD90" i="1" s="1"/>
  <c r="M90" i="1"/>
  <c r="K90" i="1"/>
  <c r="J90" i="1"/>
  <c r="I90" i="1"/>
  <c r="O90" i="1" s="1"/>
  <c r="X80" i="1"/>
  <c r="X78" i="1"/>
  <c r="X87" i="1"/>
  <c r="X48" i="1"/>
  <c r="X75" i="1"/>
  <c r="X43" i="1"/>
  <c r="X61" i="1"/>
  <c r="X27" i="1"/>
  <c r="X86" i="1"/>
  <c r="X46" i="1"/>
  <c r="X85" i="1"/>
  <c r="X26" i="1"/>
  <c r="X53" i="1"/>
  <c r="X81" i="1"/>
  <c r="X54" i="1"/>
  <c r="X77" i="1"/>
  <c r="X70" i="1"/>
  <c r="X89" i="1"/>
  <c r="X83" i="1"/>
  <c r="X62" i="1"/>
  <c r="X55" i="1"/>
  <c r="AC55" i="1" s="1"/>
  <c r="AD55" i="1" s="1"/>
  <c r="X37" i="1"/>
  <c r="X72" i="1"/>
  <c r="X23" i="1"/>
  <c r="X68" i="1"/>
  <c r="X25" i="1"/>
  <c r="X44" i="1"/>
  <c r="X36" i="1"/>
  <c r="X41" i="1"/>
  <c r="X38" i="1"/>
  <c r="X74" i="1"/>
  <c r="X76" i="1"/>
  <c r="X56" i="1"/>
  <c r="X57" i="1"/>
  <c r="X58" i="1"/>
  <c r="X18" i="1"/>
  <c r="X19" i="1"/>
  <c r="X22" i="1"/>
  <c r="X21" i="1"/>
  <c r="X34" i="1"/>
  <c r="X63" i="1"/>
  <c r="X82" i="1"/>
  <c r="X79" i="1"/>
  <c r="X71" i="1"/>
  <c r="X67" i="1"/>
  <c r="X66" i="1"/>
  <c r="X60" i="1"/>
  <c r="X59" i="1"/>
  <c r="X84" i="1"/>
  <c r="X51" i="1"/>
  <c r="X49" i="1"/>
  <c r="X20" i="1"/>
  <c r="X16" i="1"/>
  <c r="W80" i="1"/>
  <c r="W78" i="1"/>
  <c r="W87" i="1"/>
  <c r="W48" i="1"/>
  <c r="W75" i="1"/>
  <c r="W43" i="1"/>
  <c r="W61" i="1"/>
  <c r="W27" i="1"/>
  <c r="W86" i="1"/>
  <c r="W46" i="1"/>
  <c r="W85" i="1"/>
  <c r="W26" i="1"/>
  <c r="W53" i="1"/>
  <c r="W28" i="1"/>
  <c r="W81" i="1"/>
  <c r="W54" i="1"/>
  <c r="W77" i="1"/>
  <c r="W39" i="1"/>
  <c r="W70" i="1"/>
  <c r="W29" i="1"/>
  <c r="W52" i="1"/>
  <c r="W89" i="1"/>
  <c r="W17" i="1"/>
  <c r="W83" i="1"/>
  <c r="W62" i="1"/>
  <c r="W55" i="1"/>
  <c r="W37" i="1"/>
  <c r="W72" i="1"/>
  <c r="W23" i="1"/>
  <c r="W68" i="1"/>
  <c r="W25" i="1"/>
  <c r="W24" i="1"/>
  <c r="W44" i="1"/>
  <c r="W30" i="1"/>
  <c r="W36" i="1"/>
  <c r="W41" i="1"/>
  <c r="W38" i="1"/>
  <c r="W74" i="1"/>
  <c r="W76" i="1"/>
  <c r="W56" i="1"/>
  <c r="W57" i="1"/>
  <c r="W58" i="1"/>
  <c r="W18" i="1"/>
  <c r="W47" i="1"/>
  <c r="W45" i="1"/>
  <c r="W19" i="1"/>
  <c r="W22" i="1"/>
  <c r="W21" i="1"/>
  <c r="W35" i="1"/>
  <c r="W34" i="1"/>
  <c r="W63" i="1"/>
  <c r="W82" i="1"/>
  <c r="W79" i="1"/>
  <c r="W71" i="1"/>
  <c r="W67" i="1"/>
  <c r="W66" i="1"/>
  <c r="W60" i="1"/>
  <c r="W59" i="1"/>
  <c r="W84" i="1"/>
  <c r="W51" i="1"/>
  <c r="W49" i="1"/>
  <c r="W20" i="1"/>
  <c r="W40" i="1"/>
  <c r="W16" i="1"/>
  <c r="AJ80" i="1"/>
  <c r="AI80" i="1"/>
  <c r="AH80" i="1"/>
  <c r="AJ78" i="1"/>
  <c r="AI78" i="1"/>
  <c r="AH78" i="1"/>
  <c r="AJ87" i="1"/>
  <c r="AI87" i="1"/>
  <c r="AH87" i="1"/>
  <c r="AJ48" i="1"/>
  <c r="AI48" i="1"/>
  <c r="AH48" i="1"/>
  <c r="AJ75" i="1"/>
  <c r="AI75" i="1"/>
  <c r="AH75" i="1"/>
  <c r="AJ43" i="1"/>
  <c r="AI43" i="1"/>
  <c r="AH43" i="1"/>
  <c r="AJ61" i="1"/>
  <c r="AI61" i="1"/>
  <c r="AH61" i="1"/>
  <c r="AJ27" i="1"/>
  <c r="AI27" i="1"/>
  <c r="AH27" i="1"/>
  <c r="AJ86" i="1"/>
  <c r="AI86" i="1"/>
  <c r="AH86" i="1"/>
  <c r="AJ46" i="1"/>
  <c r="AI46" i="1"/>
  <c r="AH46" i="1"/>
  <c r="AJ85" i="1"/>
  <c r="AI85" i="1"/>
  <c r="AH85" i="1"/>
  <c r="AJ26" i="1"/>
  <c r="AI26" i="1"/>
  <c r="AH26" i="1"/>
  <c r="AJ53" i="1"/>
  <c r="AI53" i="1"/>
  <c r="AH53" i="1"/>
  <c r="AJ28" i="1"/>
  <c r="AI28" i="1"/>
  <c r="AH28" i="1"/>
  <c r="AJ81" i="1"/>
  <c r="AI81" i="1"/>
  <c r="AH81" i="1"/>
  <c r="AJ54" i="1"/>
  <c r="AI54" i="1"/>
  <c r="AH54" i="1"/>
  <c r="AJ77" i="1"/>
  <c r="AI77" i="1"/>
  <c r="AH77" i="1"/>
  <c r="AJ39" i="1"/>
  <c r="AI39" i="1"/>
  <c r="AH39" i="1"/>
  <c r="AJ70" i="1"/>
  <c r="AI70" i="1"/>
  <c r="AH70" i="1"/>
  <c r="AJ29" i="1"/>
  <c r="AI29" i="1"/>
  <c r="AH29" i="1"/>
  <c r="AJ52" i="1"/>
  <c r="AI52" i="1"/>
  <c r="AH52" i="1"/>
  <c r="AJ89" i="1"/>
  <c r="AI89" i="1"/>
  <c r="AH89" i="1"/>
  <c r="AI17" i="1"/>
  <c r="AH17" i="1"/>
  <c r="AJ83" i="1"/>
  <c r="AI83" i="1"/>
  <c r="AH83" i="1"/>
  <c r="AJ62" i="1"/>
  <c r="AI62" i="1"/>
  <c r="AH62" i="1"/>
  <c r="AJ55" i="1"/>
  <c r="AI55" i="1"/>
  <c r="AH55" i="1"/>
  <c r="AJ37" i="1"/>
  <c r="AI37" i="1"/>
  <c r="AH37" i="1"/>
  <c r="AJ72" i="1"/>
  <c r="AI72" i="1"/>
  <c r="AH72" i="1"/>
  <c r="AJ23" i="1"/>
  <c r="AI23" i="1"/>
  <c r="AH23" i="1"/>
  <c r="AJ68" i="1"/>
  <c r="AI68" i="1"/>
  <c r="AH68" i="1"/>
  <c r="AJ25" i="1"/>
  <c r="AI25" i="1"/>
  <c r="AH25" i="1"/>
  <c r="AJ24" i="1"/>
  <c r="AI24" i="1"/>
  <c r="AH24" i="1"/>
  <c r="AJ44" i="1"/>
  <c r="AI44" i="1"/>
  <c r="AH44" i="1"/>
  <c r="AJ30" i="1"/>
  <c r="AI30" i="1"/>
  <c r="AH30" i="1"/>
  <c r="AJ36" i="1"/>
  <c r="AI36" i="1"/>
  <c r="AH36" i="1"/>
  <c r="AJ41" i="1"/>
  <c r="AI41" i="1"/>
  <c r="AH41" i="1"/>
  <c r="AJ38" i="1"/>
  <c r="AI38" i="1"/>
  <c r="AH38" i="1"/>
  <c r="AJ74" i="1"/>
  <c r="AI74" i="1"/>
  <c r="AH74" i="1"/>
  <c r="AJ76" i="1"/>
  <c r="AI76" i="1"/>
  <c r="AH76" i="1"/>
  <c r="AJ56" i="1"/>
  <c r="AI56" i="1"/>
  <c r="AH56" i="1"/>
  <c r="AJ57" i="1"/>
  <c r="AI57" i="1"/>
  <c r="AH57" i="1"/>
  <c r="AJ58" i="1"/>
  <c r="AI58" i="1"/>
  <c r="AH58" i="1"/>
  <c r="AJ18" i="1"/>
  <c r="AI18" i="1"/>
  <c r="AH18" i="1"/>
  <c r="AJ47" i="1"/>
  <c r="AI47" i="1"/>
  <c r="AH47" i="1"/>
  <c r="AJ45" i="1"/>
  <c r="AI45" i="1"/>
  <c r="AH45" i="1"/>
  <c r="AJ19" i="1"/>
  <c r="AI19" i="1"/>
  <c r="AH19" i="1"/>
  <c r="AJ22" i="1"/>
  <c r="AI22" i="1"/>
  <c r="AH22" i="1"/>
  <c r="AJ21" i="1"/>
  <c r="AI21" i="1"/>
  <c r="AH21" i="1"/>
  <c r="AJ35" i="1"/>
  <c r="AI35" i="1"/>
  <c r="AH35" i="1"/>
  <c r="AJ34" i="1"/>
  <c r="AI34" i="1"/>
  <c r="AH34" i="1"/>
  <c r="AJ63" i="1"/>
  <c r="AI63" i="1"/>
  <c r="AH63" i="1"/>
  <c r="AJ82" i="1"/>
  <c r="AI82" i="1"/>
  <c r="AH82" i="1"/>
  <c r="AJ79" i="1"/>
  <c r="AI79" i="1"/>
  <c r="AH79" i="1"/>
  <c r="AJ71" i="1"/>
  <c r="AI71" i="1"/>
  <c r="AH71" i="1"/>
  <c r="AJ67" i="1"/>
  <c r="AI67" i="1"/>
  <c r="AH67" i="1"/>
  <c r="AJ66" i="1"/>
  <c r="AI66" i="1"/>
  <c r="AH66" i="1"/>
  <c r="AJ60" i="1"/>
  <c r="AI60" i="1"/>
  <c r="AH60" i="1"/>
  <c r="AJ59" i="1"/>
  <c r="AI59" i="1"/>
  <c r="AH59" i="1"/>
  <c r="AJ84" i="1"/>
  <c r="AI84" i="1"/>
  <c r="AH84" i="1"/>
  <c r="AJ51" i="1"/>
  <c r="AI51" i="1"/>
  <c r="AH51" i="1"/>
  <c r="AJ49" i="1"/>
  <c r="AI49" i="1"/>
  <c r="AH49" i="1"/>
  <c r="AJ20" i="1"/>
  <c r="AI20" i="1"/>
  <c r="AH20" i="1"/>
  <c r="AJ40" i="1"/>
  <c r="AI40" i="1"/>
  <c r="AH40" i="1"/>
  <c r="AJ16" i="1"/>
  <c r="AI16" i="1"/>
  <c r="AH16" i="1"/>
  <c r="Y80" i="1"/>
  <c r="Y78" i="1"/>
  <c r="Y87" i="1"/>
  <c r="Y48" i="1"/>
  <c r="Y75" i="1"/>
  <c r="Y43" i="1"/>
  <c r="Y61" i="1"/>
  <c r="Y27" i="1"/>
  <c r="Y86" i="1"/>
  <c r="Y46" i="1"/>
  <c r="Y85" i="1"/>
  <c r="Y26" i="1"/>
  <c r="Y53" i="1"/>
  <c r="Y28" i="1"/>
  <c r="Y81" i="1"/>
  <c r="Y54" i="1"/>
  <c r="Y77" i="1"/>
  <c r="Y39" i="1"/>
  <c r="Y70" i="1"/>
  <c r="Y29" i="1"/>
  <c r="Y52" i="1"/>
  <c r="Y89" i="1"/>
  <c r="Y83" i="1"/>
  <c r="Y62" i="1"/>
  <c r="Y55" i="1"/>
  <c r="Y37" i="1"/>
  <c r="Y72" i="1"/>
  <c r="Y23" i="1"/>
  <c r="Y68" i="1"/>
  <c r="Y25" i="1"/>
  <c r="Y24" i="1"/>
  <c r="Y44" i="1"/>
  <c r="Y30" i="1"/>
  <c r="Y36" i="1"/>
  <c r="Y41" i="1"/>
  <c r="Y38" i="1"/>
  <c r="Y74" i="1"/>
  <c r="Y76" i="1"/>
  <c r="Y56" i="1"/>
  <c r="Y57" i="1"/>
  <c r="Y58" i="1"/>
  <c r="Y18" i="1"/>
  <c r="Y47" i="1"/>
  <c r="Y45" i="1"/>
  <c r="Y19" i="1"/>
  <c r="Y22" i="1"/>
  <c r="Y21" i="1"/>
  <c r="Y35" i="1"/>
  <c r="Y34" i="1"/>
  <c r="Y63" i="1"/>
  <c r="Y82" i="1"/>
  <c r="Y79" i="1"/>
  <c r="Y71" i="1"/>
  <c r="Y67" i="1"/>
  <c r="Y66" i="1"/>
  <c r="Y60" i="1"/>
  <c r="Y59" i="1"/>
  <c r="Y84" i="1"/>
  <c r="Y51" i="1"/>
  <c r="Y49" i="1"/>
  <c r="Y20" i="1"/>
  <c r="Y40" i="1"/>
  <c r="Y16" i="1"/>
  <c r="O80" i="1"/>
  <c r="N80" i="1"/>
  <c r="AC80" i="1" s="1"/>
  <c r="AD80" i="1" s="1"/>
  <c r="M80" i="1"/>
  <c r="O88" i="1"/>
  <c r="N88" i="1"/>
  <c r="AC88" i="1" s="1"/>
  <c r="AD88" i="1" s="1"/>
  <c r="M88" i="1"/>
  <c r="O78" i="1"/>
  <c r="M78" i="1"/>
  <c r="O87" i="1"/>
  <c r="N87" i="1"/>
  <c r="M87" i="1"/>
  <c r="O50" i="1"/>
  <c r="N50" i="1"/>
  <c r="AC50" i="1" s="1"/>
  <c r="AD50" i="1" s="1"/>
  <c r="M50" i="1"/>
  <c r="O33" i="1"/>
  <c r="N33" i="1"/>
  <c r="AC33" i="1" s="1"/>
  <c r="AD33" i="1" s="1"/>
  <c r="M33" i="1"/>
  <c r="O48" i="1"/>
  <c r="N48" i="1"/>
  <c r="M48" i="1"/>
  <c r="O31" i="1"/>
  <c r="N31" i="1"/>
  <c r="AC31" i="1" s="1"/>
  <c r="AD31" i="1" s="1"/>
  <c r="M31" i="1"/>
  <c r="O75" i="1"/>
  <c r="N75" i="1"/>
  <c r="M75" i="1"/>
  <c r="O43" i="1"/>
  <c r="N43" i="1"/>
  <c r="M43" i="1"/>
  <c r="O61" i="1"/>
  <c r="N61" i="1"/>
  <c r="AC61" i="1" s="1"/>
  <c r="AD61" i="1" s="1"/>
  <c r="M61" i="1"/>
  <c r="O69" i="1"/>
  <c r="N69" i="1"/>
  <c r="AC69" i="1" s="1"/>
  <c r="AD69" i="1" s="1"/>
  <c r="M69" i="1"/>
  <c r="O27" i="1"/>
  <c r="N27" i="1"/>
  <c r="M27" i="1"/>
  <c r="O86" i="1"/>
  <c r="N86" i="1"/>
  <c r="M86" i="1"/>
  <c r="O46" i="1"/>
  <c r="N46" i="1"/>
  <c r="M46" i="1"/>
  <c r="O85" i="1"/>
  <c r="N85" i="1"/>
  <c r="M85" i="1"/>
  <c r="O42" i="1"/>
  <c r="N42" i="1"/>
  <c r="AC42" i="1" s="1"/>
  <c r="AD42" i="1" s="1"/>
  <c r="M42" i="1"/>
  <c r="O26" i="1"/>
  <c r="N26" i="1"/>
  <c r="M26" i="1"/>
  <c r="O53" i="1"/>
  <c r="N53" i="1"/>
  <c r="M53" i="1"/>
  <c r="O28" i="1"/>
  <c r="AC28" i="1"/>
  <c r="AD28" i="1" s="1"/>
  <c r="M28" i="1"/>
  <c r="O81" i="1"/>
  <c r="N81" i="1"/>
  <c r="M81" i="1"/>
  <c r="O32" i="1"/>
  <c r="N32" i="1"/>
  <c r="AC32" i="1" s="1"/>
  <c r="AD32" i="1" s="1"/>
  <c r="M32" i="1"/>
  <c r="O54" i="1"/>
  <c r="N54" i="1"/>
  <c r="M54" i="1"/>
  <c r="O77" i="1"/>
  <c r="N77" i="1"/>
  <c r="M77" i="1"/>
  <c r="O39" i="1"/>
  <c r="M39" i="1"/>
  <c r="O70" i="1"/>
  <c r="M70" i="1"/>
  <c r="O29" i="1"/>
  <c r="M29" i="1"/>
  <c r="O52" i="1"/>
  <c r="N52" i="1"/>
  <c r="M52" i="1"/>
  <c r="O89" i="1"/>
  <c r="N89" i="1"/>
  <c r="M89" i="1"/>
  <c r="O17" i="1"/>
  <c r="N17" i="1"/>
  <c r="AC17" i="1" s="1"/>
  <c r="AD17" i="1" s="1"/>
  <c r="M17" i="1"/>
  <c r="O83" i="1"/>
  <c r="N83" i="1"/>
  <c r="AC83" i="1" s="1"/>
  <c r="AD83" i="1" s="1"/>
  <c r="M83" i="1"/>
  <c r="O62" i="1"/>
  <c r="M62" i="1"/>
  <c r="O55" i="1"/>
  <c r="M55" i="1"/>
  <c r="O64" i="1"/>
  <c r="N64" i="1"/>
  <c r="AC64" i="1" s="1"/>
  <c r="AD64" i="1" s="1"/>
  <c r="M64" i="1"/>
  <c r="O37" i="1"/>
  <c r="N37" i="1"/>
  <c r="M37" i="1"/>
  <c r="O72" i="1"/>
  <c r="M72" i="1"/>
  <c r="O23" i="1"/>
  <c r="N23" i="1"/>
  <c r="M23" i="1"/>
  <c r="O68" i="1"/>
  <c r="M68" i="1"/>
  <c r="O25" i="1"/>
  <c r="N25" i="1"/>
  <c r="M25" i="1"/>
  <c r="O24" i="1"/>
  <c r="M24" i="1"/>
  <c r="O44" i="1"/>
  <c r="N44" i="1"/>
  <c r="M44" i="1"/>
  <c r="O30" i="1"/>
  <c r="M30" i="1"/>
  <c r="O36" i="1"/>
  <c r="N36" i="1"/>
  <c r="M36" i="1"/>
  <c r="O41" i="1"/>
  <c r="N41" i="1"/>
  <c r="M41" i="1"/>
  <c r="O38" i="1"/>
  <c r="N38" i="1"/>
  <c r="M38" i="1"/>
  <c r="O74" i="1"/>
  <c r="N74" i="1"/>
  <c r="M74" i="1"/>
  <c r="O76" i="1"/>
  <c r="M76" i="1"/>
  <c r="O56" i="1"/>
  <c r="N56" i="1"/>
  <c r="M56" i="1"/>
  <c r="O57" i="1"/>
  <c r="M57" i="1"/>
  <c r="O58" i="1"/>
  <c r="N58" i="1"/>
  <c r="M58" i="1"/>
  <c r="O18" i="1"/>
  <c r="N18" i="1"/>
  <c r="M18" i="1"/>
  <c r="O47" i="1"/>
  <c r="M47" i="1"/>
  <c r="O45" i="1"/>
  <c r="M45" i="1"/>
  <c r="O19" i="1"/>
  <c r="N19" i="1"/>
  <c r="M19" i="1"/>
  <c r="O22" i="1"/>
  <c r="N22" i="1"/>
  <c r="M22" i="1"/>
  <c r="O21" i="1"/>
  <c r="N21" i="1"/>
  <c r="M21" i="1"/>
  <c r="O35" i="1"/>
  <c r="M35" i="1"/>
  <c r="O34" i="1"/>
  <c r="N34" i="1"/>
  <c r="M34" i="1"/>
  <c r="O63" i="1"/>
  <c r="N63" i="1"/>
  <c r="M63" i="1"/>
  <c r="O82" i="1"/>
  <c r="N82" i="1"/>
  <c r="M82" i="1"/>
  <c r="O79" i="1"/>
  <c r="N79" i="1"/>
  <c r="M79" i="1"/>
  <c r="O71" i="1"/>
  <c r="N71" i="1"/>
  <c r="M71" i="1"/>
  <c r="O67" i="1"/>
  <c r="N67" i="1"/>
  <c r="M67" i="1"/>
  <c r="O66" i="1"/>
  <c r="N66" i="1"/>
  <c r="M66" i="1"/>
  <c r="O65" i="1"/>
  <c r="N65" i="1"/>
  <c r="AC65" i="1" s="1"/>
  <c r="AD65" i="1" s="1"/>
  <c r="M65" i="1"/>
  <c r="O60" i="1"/>
  <c r="N60" i="1"/>
  <c r="AC60" i="1" s="1"/>
  <c r="AD60" i="1" s="1"/>
  <c r="M60" i="1"/>
  <c r="O59" i="1"/>
  <c r="M59" i="1"/>
  <c r="O84" i="1"/>
  <c r="N84" i="1"/>
  <c r="M84" i="1"/>
  <c r="O51" i="1"/>
  <c r="M51" i="1"/>
  <c r="O49" i="1"/>
  <c r="N49" i="1"/>
  <c r="AC49" i="1" s="1"/>
  <c r="AD49" i="1" s="1"/>
  <c r="M49" i="1"/>
  <c r="O20" i="1"/>
  <c r="N20" i="1"/>
  <c r="M20" i="1"/>
  <c r="O40" i="1"/>
  <c r="M40" i="1"/>
  <c r="O16" i="1"/>
  <c r="N16" i="1"/>
  <c r="M16" i="1"/>
  <c r="O73" i="1"/>
  <c r="N73" i="1"/>
  <c r="M73" i="1"/>
  <c r="W90" i="1" l="1"/>
  <c r="AC101" i="1"/>
  <c r="AD101" i="1" s="1"/>
  <c r="M108" i="2"/>
  <c r="X108" i="2"/>
  <c r="AC75" i="1"/>
  <c r="AD75" i="1" s="1"/>
  <c r="AC78" i="2"/>
  <c r="AD78" i="2" s="1"/>
  <c r="AC55" i="2"/>
  <c r="AD55" i="2" s="1"/>
  <c r="AC36" i="2"/>
  <c r="AD36" i="2" s="1"/>
  <c r="N12" i="2"/>
  <c r="AH90" i="1"/>
  <c r="AC100" i="1"/>
  <c r="AD100" i="1" s="1"/>
  <c r="AC43" i="2"/>
  <c r="AD43" i="2" s="1"/>
  <c r="M107" i="2"/>
  <c r="X107" i="2"/>
  <c r="AC107" i="2" s="1"/>
  <c r="AD107" i="2" s="1"/>
  <c r="W108" i="2"/>
  <c r="O105" i="2"/>
  <c r="O11" i="2"/>
  <c r="N11" i="2"/>
  <c r="AI90" i="1"/>
  <c r="AJ90" i="1"/>
  <c r="AC74" i="2"/>
  <c r="AD74" i="2" s="1"/>
  <c r="Y108" i="2"/>
  <c r="AH105" i="2"/>
  <c r="AC84" i="1"/>
  <c r="AD84" i="1" s="1"/>
  <c r="AC26" i="1"/>
  <c r="AD26" i="1" s="1"/>
  <c r="AC62" i="2"/>
  <c r="AD62" i="2" s="1"/>
  <c r="W107" i="2"/>
  <c r="AC35" i="2"/>
  <c r="AD35" i="2" s="1"/>
  <c r="AC51" i="2"/>
  <c r="AD51" i="2" s="1"/>
  <c r="AC26" i="2"/>
  <c r="AD26" i="2" s="1"/>
  <c r="AC28" i="2"/>
  <c r="AD28" i="2" s="1"/>
  <c r="O108" i="2"/>
  <c r="AI105" i="2"/>
  <c r="Y105" i="2"/>
  <c r="M12" i="2"/>
  <c r="AI90" i="2"/>
  <c r="AC72" i="2"/>
  <c r="AD72" i="2" s="1"/>
  <c r="AC47" i="2"/>
  <c r="AD47" i="2" s="1"/>
  <c r="AC73" i="2"/>
  <c r="AD73" i="2" s="1"/>
  <c r="AC40" i="2"/>
  <c r="AD40" i="2" s="1"/>
  <c r="AC45" i="2"/>
  <c r="AD45" i="2" s="1"/>
  <c r="AC63" i="2"/>
  <c r="AD63" i="2" s="1"/>
  <c r="AC39" i="2"/>
  <c r="AD39" i="2" s="1"/>
  <c r="AC66" i="2"/>
  <c r="AD66" i="2" s="1"/>
  <c r="AC90" i="2"/>
  <c r="AD90" i="2" s="1"/>
  <c r="Y90" i="2"/>
  <c r="AC96" i="2"/>
  <c r="AD96" i="2" s="1"/>
  <c r="AC101" i="2"/>
  <c r="AD101" i="2" s="1"/>
  <c r="AC102" i="2"/>
  <c r="AD102" i="2" s="1"/>
  <c r="AC42" i="2"/>
  <c r="AD42" i="2" s="1"/>
  <c r="AC46" i="2"/>
  <c r="AD46" i="2" s="1"/>
  <c r="AC56" i="2"/>
  <c r="AD56" i="2" s="1"/>
  <c r="AC22" i="2"/>
  <c r="AD22" i="2" s="1"/>
  <c r="AC33" i="2"/>
  <c r="AD33" i="2" s="1"/>
  <c r="AC24" i="2"/>
  <c r="AD24" i="2" s="1"/>
  <c r="AC49" i="2"/>
  <c r="AD49" i="2" s="1"/>
  <c r="AC37" i="2"/>
  <c r="AD37" i="2" s="1"/>
  <c r="AC61" i="2"/>
  <c r="AD61" i="2" s="1"/>
  <c r="O90" i="2"/>
  <c r="W105" i="2"/>
  <c r="AC64" i="2"/>
  <c r="AD64" i="2" s="1"/>
  <c r="AC53" i="2"/>
  <c r="AD53" i="2" s="1"/>
  <c r="N108" i="2"/>
  <c r="AC108" i="2" s="1"/>
  <c r="AD108" i="2" s="1"/>
  <c r="AC50" i="2"/>
  <c r="AD50" i="2" s="1"/>
  <c r="AC18" i="2"/>
  <c r="AD18" i="2" s="1"/>
  <c r="AC32" i="2"/>
  <c r="AD32" i="2" s="1"/>
  <c r="AC77" i="2"/>
  <c r="AD77" i="2" s="1"/>
  <c r="AC17" i="2"/>
  <c r="AD17" i="2" s="1"/>
  <c r="AC25" i="2"/>
  <c r="AD25" i="2" s="1"/>
  <c r="AC27" i="2"/>
  <c r="AD27" i="2" s="1"/>
  <c r="AC69" i="2"/>
  <c r="AD69" i="2" s="1"/>
  <c r="AC44" i="2"/>
  <c r="AD44" i="2" s="1"/>
  <c r="AC16" i="2"/>
  <c r="AD16" i="2" s="1"/>
  <c r="AC76" i="2"/>
  <c r="AD76" i="2" s="1"/>
  <c r="AC75" i="2"/>
  <c r="AD75" i="2" s="1"/>
  <c r="AC54" i="2"/>
  <c r="AD54" i="2" s="1"/>
  <c r="AC41" i="2"/>
  <c r="AD41" i="2" s="1"/>
  <c r="AC70" i="2"/>
  <c r="AD70" i="2" s="1"/>
  <c r="AC59" i="2"/>
  <c r="AD59" i="2" s="1"/>
  <c r="AC23" i="2"/>
  <c r="AD23" i="2" s="1"/>
  <c r="AC65" i="2"/>
  <c r="AD65" i="2" s="1"/>
  <c r="AC52" i="2"/>
  <c r="AD52" i="2" s="1"/>
  <c r="M90" i="2"/>
  <c r="AC31" i="2"/>
  <c r="AD31" i="2" s="1"/>
  <c r="AC20" i="2"/>
  <c r="AD20" i="2" s="1"/>
  <c r="AJ90" i="2"/>
  <c r="M105" i="2"/>
  <c r="W90" i="2"/>
  <c r="N105" i="2"/>
  <c r="AC105" i="2" s="1"/>
  <c r="AD105" i="2" s="1"/>
  <c r="AJ105" i="2"/>
  <c r="AC95" i="1"/>
  <c r="AD95" i="1" s="1"/>
  <c r="AC102" i="1"/>
  <c r="AD102" i="1" s="1"/>
  <c r="W105" i="1"/>
  <c r="Y105" i="1"/>
  <c r="AI105" i="1"/>
  <c r="AJ105" i="1"/>
  <c r="X105" i="1"/>
  <c r="N105" i="1"/>
  <c r="AC71" i="1"/>
  <c r="AD71" i="1" s="1"/>
  <c r="AC34" i="1"/>
  <c r="AD34" i="1" s="1"/>
  <c r="AC19" i="1"/>
  <c r="AD19" i="1" s="1"/>
  <c r="AC58" i="1"/>
  <c r="AD58" i="1" s="1"/>
  <c r="AC74" i="1"/>
  <c r="AD74" i="1" s="1"/>
  <c r="AC30" i="1"/>
  <c r="AD30" i="1" s="1"/>
  <c r="AC68" i="1"/>
  <c r="AD68" i="1" s="1"/>
  <c r="AC86" i="1"/>
  <c r="AD86" i="1" s="1"/>
  <c r="AC20" i="1"/>
  <c r="AD20" i="1" s="1"/>
  <c r="AC59" i="1"/>
  <c r="AD59" i="1" s="1"/>
  <c r="AC53" i="1"/>
  <c r="AD53" i="1" s="1"/>
  <c r="AC52" i="1"/>
  <c r="AD52" i="1" s="1"/>
  <c r="AC77" i="1"/>
  <c r="AD77" i="1" s="1"/>
  <c r="AC54" i="1"/>
  <c r="AD54" i="1" s="1"/>
  <c r="AC48" i="1"/>
  <c r="AD48" i="1" s="1"/>
  <c r="AC66" i="1"/>
  <c r="AD66" i="1" s="1"/>
  <c r="AC82" i="1"/>
  <c r="AD82" i="1" s="1"/>
  <c r="AC21" i="1"/>
  <c r="AD21" i="1" s="1"/>
  <c r="AC56" i="1"/>
  <c r="AD56" i="1" s="1"/>
  <c r="AC41" i="1"/>
  <c r="AD41" i="1" s="1"/>
  <c r="AC24" i="1"/>
  <c r="AD24" i="1" s="1"/>
  <c r="AC62" i="1"/>
  <c r="AD62" i="1" s="1"/>
  <c r="AC85" i="1"/>
  <c r="AD85" i="1" s="1"/>
  <c r="AC29" i="1"/>
  <c r="AD29" i="1" s="1"/>
  <c r="AC16" i="1"/>
  <c r="AD16" i="1" s="1"/>
  <c r="AC79" i="1"/>
  <c r="AD79" i="1" s="1"/>
  <c r="AC35" i="1"/>
  <c r="AD35" i="1" s="1"/>
  <c r="AC45" i="1"/>
  <c r="AD45" i="1" s="1"/>
  <c r="AC57" i="1"/>
  <c r="AD57" i="1" s="1"/>
  <c r="AC38" i="1"/>
  <c r="AD38" i="1" s="1"/>
  <c r="AC44" i="1"/>
  <c r="AD44" i="1" s="1"/>
  <c r="AC23" i="1"/>
  <c r="AD23" i="1" s="1"/>
  <c r="AC27" i="1"/>
  <c r="AD27" i="1" s="1"/>
  <c r="AC89" i="1"/>
  <c r="AD89" i="1" s="1"/>
  <c r="AC39" i="1"/>
  <c r="AD39" i="1" s="1"/>
  <c r="AC43" i="1"/>
  <c r="AD43" i="1" s="1"/>
  <c r="AC67" i="1"/>
  <c r="AD67" i="1" s="1"/>
  <c r="AC63" i="1"/>
  <c r="AD63" i="1" s="1"/>
  <c r="AC22" i="1"/>
  <c r="AD22" i="1" s="1"/>
  <c r="AC18" i="1"/>
  <c r="AD18" i="1" s="1"/>
  <c r="AC76" i="1"/>
  <c r="AD76" i="1" s="1"/>
  <c r="AC36" i="1"/>
  <c r="AD36" i="1" s="1"/>
  <c r="AC25" i="1"/>
  <c r="AD25" i="1" s="1"/>
  <c r="AC37" i="1"/>
  <c r="AD37" i="1" s="1"/>
  <c r="AC46" i="1"/>
  <c r="AD46" i="1" s="1"/>
  <c r="AC78" i="1"/>
  <c r="AD78" i="1" s="1"/>
  <c r="AC47" i="1"/>
  <c r="AD47" i="1" s="1"/>
  <c r="AC72" i="1"/>
  <c r="AD72" i="1" s="1"/>
  <c r="AC87" i="1"/>
  <c r="AD87" i="1" s="1"/>
  <c r="AC81" i="1"/>
  <c r="AD81" i="1" s="1"/>
  <c r="AC51" i="1"/>
  <c r="AD51" i="1" s="1"/>
  <c r="AC70" i="1"/>
  <c r="AD70" i="1" s="1"/>
  <c r="AC105" i="1" l="1"/>
  <c r="AD105" i="1" s="1"/>
</calcChain>
</file>

<file path=xl/sharedStrings.xml><?xml version="1.0" encoding="utf-8"?>
<sst xmlns="http://schemas.openxmlformats.org/spreadsheetml/2006/main" count="677" uniqueCount="156">
  <si>
    <t>WESTERN BAGEL BAKING CORPORATION-VAN NUYS</t>
  </si>
  <si>
    <t>ACE BEVERAGE COMPANY-LOS ANGELES</t>
  </si>
  <si>
    <t>ALLIED BEVERAGES INC-VENTURA</t>
  </si>
  <si>
    <t>ANHEUSER BUSCH OF SAN DIEGO-SAN DIEGO</t>
  </si>
  <si>
    <t>CLASSIC DISTRIBUTING-CITYOFINDUSTRY</t>
  </si>
  <si>
    <t>CRESCENT CROWN DISTRIBUTING LLC-PHOENIX</t>
  </si>
  <si>
    <t>DONAGHY SALES LLC-FRESNO</t>
  </si>
  <si>
    <t>HEIMARK DISTRIBUTING CO-INDIO</t>
  </si>
  <si>
    <t>HENSLEY-PHOENIX</t>
  </si>
  <si>
    <t>MISSION BEVERAGE COMPANY-LOS ANGELES</t>
  </si>
  <si>
    <t>NEVADA BEVERAGE-LAS VEGAS</t>
  </si>
  <si>
    <t>PACIFIC BEVERAGE-OXNARD/SANTAMAR</t>
  </si>
  <si>
    <t>STRAUB DISTRIBUTING CO-TUSTIN</t>
  </si>
  <si>
    <t>YOUNGS MARKET CO AZ-PHOENIX</t>
  </si>
  <si>
    <t>REDDY ICE-REDDY ICE ARIZO</t>
  </si>
  <si>
    <t>JOHNSON BROTHER OF NEVADA INC-N LAS VEGAS</t>
  </si>
  <si>
    <t>SOUTHERN W&amp;S AZ-PHOENIX</t>
  </si>
  <si>
    <t>SOUTHERN W&amp;S NV-LAS VEGAS</t>
  </si>
  <si>
    <t>ANHEUSER BUSCH SALES BEACH CITIES-CARSON</t>
  </si>
  <si>
    <t>ANHEUSER BUSCH SALES COMPANY-RIVERSIDE</t>
  </si>
  <si>
    <t>ANHEUSER BUSCH INC DBA AB SALES OF SYLMAR-SYLMAR</t>
  </si>
  <si>
    <t>BONANZA BEVERAGE COMPANY-LAS VEGAS</t>
  </si>
  <si>
    <t>CENTRAL COAST DISTRIBUTION-SANTA MARIA</t>
  </si>
  <si>
    <t>ALLIANCE BEVERAGES-CANYON DIV BEER</t>
  </si>
  <si>
    <t>HARBOR DIST-ORANGE COUNTY</t>
  </si>
  <si>
    <t>HARBOR DIST-LA COUNTY</t>
  </si>
  <si>
    <t>HARBOR DIST-GATE CITY</t>
  </si>
  <si>
    <t>ROMEROS FOOD PRODUCTS INC-SANTAFE SPRINGS</t>
  </si>
  <si>
    <t>FRITO LAY-DEX</t>
  </si>
  <si>
    <t>PEPSI COLA-BALDWINPARK FEC</t>
  </si>
  <si>
    <t>AMERICAN MART CORPERATION DBA WIRTZ BEVERAGE NEVADA INC-LAS VEGAS</t>
  </si>
  <si>
    <t>7UP RC BOTTLING-VERNON</t>
  </si>
  <si>
    <t>WIRTZ BEVERAGE NEVADA BEER INC-LAS VEGAS</t>
  </si>
  <si>
    <t>BEAUCHAMP DISTRIBUTING COMPANY-COMPTON</t>
  </si>
  <si>
    <t>MARKSTEIN BEVERAGE SACRAMENTO-SACRAMENTO</t>
  </si>
  <si>
    <t>MARKSTEIN BEVERAGE SAN MARCOS-SAN MARCOS</t>
  </si>
  <si>
    <t>PACIFIC BEVERAGE-SANTA BARBARA</t>
  </si>
  <si>
    <t>ANHEUSER BUSCH-POMONA</t>
  </si>
  <si>
    <t>TRIANGLE DISTRIBUTING CO-SANTA FE SPRING</t>
  </si>
  <si>
    <t>COCA COLA-LOS ANGELES SAL</t>
  </si>
  <si>
    <t>KALIL BOTTLING CO-PHOENIX</t>
  </si>
  <si>
    <t>HARALAMBOS BEVERAGE CO-EL SEGUNDO</t>
  </si>
  <si>
    <t>JOHN LENORE &amp; COMPANY-SAN DIEGO</t>
  </si>
  <si>
    <t>REDDY ICE-REDDY ICE NEVAD</t>
  </si>
  <si>
    <t>ADVANCE BEVERAGE COMPANY-BAKERSFIELD</t>
  </si>
  <si>
    <t>WA THOMPSON INC-BAKERSFIELD</t>
  </si>
  <si>
    <t>CREST BEVERAGE LLC-SAN DIEGO</t>
  </si>
  <si>
    <t>VALLEY WIDE BEVERAGE COMPANY-FRESNO</t>
  </si>
  <si>
    <t>SEQUOIA BEVERAGE COMPANY-VISALIA</t>
  </si>
  <si>
    <t>ALLIED BEVERAGES INC SYLMAR-SYLMAR</t>
  </si>
  <si>
    <t>SHAMROCK FOODS INC-PHOENIX</t>
  </si>
  <si>
    <t>DBI BEVERAGE SAN JOSE-SAN JOSE</t>
  </si>
  <si>
    <t>DBI BEVERAGE NAPA-FAIRFIELD</t>
  </si>
  <si>
    <t>STONE BREWING COMPANY-ESCONDIDO</t>
  </si>
  <si>
    <t>DBI BEVERAGE SAN FRANCISCO-SOUTH SAN FRANC</t>
  </si>
  <si>
    <t>MARKSTEIN SALES COMPANY-ANTIOCH</t>
  </si>
  <si>
    <t>BAY AREA BEVERAGE COMPANY-RICHMOND</t>
  </si>
  <si>
    <t>MATAGRANO INC-SOUTH SAN FRAN</t>
  </si>
  <si>
    <t>BOTTOMLEY DISTRIBUTING-MILPITAS</t>
  </si>
  <si>
    <t>ME FOX &amp; COMPANY INC-SAN JOSE</t>
  </si>
  <si>
    <t>MORRIS DISTRIBUTING-PETALUMA</t>
  </si>
  <si>
    <t>SACCANI DISTRIBUTING COMPANY-SACRAMENTO</t>
  </si>
  <si>
    <t>HORIZON BEVERAGE COMPANY LP-OAKLAND</t>
  </si>
  <si>
    <t>BAY AREA DISTRIBUTING CO INC-RICHMOND</t>
  </si>
  <si>
    <t>MARQUEZ BROTHERS INTERNATIONAL INC-CITY OF INDUSTR</t>
  </si>
  <si>
    <t>ALLIANCE BEVERAGES-PHOENIX WINE</t>
  </si>
  <si>
    <t>CHRISSA IMPORTS LTD-SOUTH SAN FRAN</t>
  </si>
  <si>
    <t>HENSLEY-WINE PHOENIX</t>
  </si>
  <si>
    <t>CRAFT BEER GUILD DISTRIBUTING OF CALIFORNIA LLC-SAN DIEGO</t>
  </si>
  <si>
    <t>RD AMERICA LLC-PHOENIX</t>
  </si>
  <si>
    <t>UNITED NATURAL FOOD WEST INC-DSD_MORENO VALL</t>
  </si>
  <si>
    <t>TRUE FABRICATIONS INC-SEATTLE</t>
  </si>
  <si>
    <t>YOUNGS MARKET CO CA-DSD_YOUNGS MRKT</t>
  </si>
  <si>
    <t>Vendor Name</t>
  </si>
  <si>
    <t>Vendor ID</t>
  </si>
  <si>
    <t>Authorized stores</t>
  </si>
  <si>
    <t>Delivery Invoice Count</t>
  </si>
  <si>
    <t>Delivery Dollars</t>
  </si>
  <si>
    <t>Delivery Item Count</t>
  </si>
  <si>
    <t>Credit Invoice Count</t>
  </si>
  <si>
    <t>Credit Dollars</t>
  </si>
  <si>
    <t>Credit Item Count</t>
  </si>
  <si>
    <t>ATA RETAIL SERVICES INC-HAYWARD</t>
  </si>
  <si>
    <t>Delivery value per invoice</t>
  </si>
  <si>
    <t>Delivery value per item</t>
  </si>
  <si>
    <t>Delivery items per inovice</t>
  </si>
  <si>
    <t>Credit value per invoice</t>
  </si>
  <si>
    <t>Credit value per item</t>
  </si>
  <si>
    <t>Credit items per inovice</t>
  </si>
  <si>
    <t>credit / delivery ratio invoice</t>
  </si>
  <si>
    <t>credit / delivery ratio value</t>
  </si>
  <si>
    <t>credit / delivery ratio item</t>
  </si>
  <si>
    <t>Delivery to Sales Ratio (V)</t>
  </si>
  <si>
    <t>delivery value as a % of sales value (vendor)</t>
  </si>
  <si>
    <t>Delivery to Sales Ratio (Cat)</t>
  </si>
  <si>
    <t>delivery value as a % of sales value (category)</t>
  </si>
  <si>
    <t>Delivery to Sales Ratio (SKU)</t>
  </si>
  <si>
    <t>delivery value as a % of sales value (SKU)</t>
  </si>
  <si>
    <r>
      <t xml:space="preserve">1 credit </t>
    </r>
    <r>
      <rPr>
        <b/>
        <i/>
        <sz val="9"/>
        <rFont val="Calibri"/>
        <family val="2"/>
        <scheme val="minor"/>
      </rPr>
      <t>INVOICE</t>
    </r>
    <r>
      <rPr>
        <i/>
        <sz val="9"/>
        <rFont val="Calibri"/>
        <family val="2"/>
        <scheme val="minor"/>
      </rPr>
      <t xml:space="preserve"> for every ___ delivery </t>
    </r>
    <r>
      <rPr>
        <b/>
        <i/>
        <sz val="9"/>
        <rFont val="Calibri"/>
        <family val="2"/>
        <scheme val="minor"/>
      </rPr>
      <t>INVOICE</t>
    </r>
  </si>
  <si>
    <r>
      <t xml:space="preserve">1 credit </t>
    </r>
    <r>
      <rPr>
        <b/>
        <i/>
        <sz val="9"/>
        <rFont val="Calibri"/>
        <family val="2"/>
        <scheme val="minor"/>
      </rPr>
      <t>DOLLAR</t>
    </r>
    <r>
      <rPr>
        <i/>
        <sz val="9"/>
        <rFont val="Calibri"/>
        <family val="2"/>
        <scheme val="minor"/>
      </rPr>
      <t xml:space="preserve"> for every ___ delivery </t>
    </r>
    <r>
      <rPr>
        <b/>
        <i/>
        <sz val="9"/>
        <rFont val="Calibri"/>
        <family val="2"/>
        <scheme val="minor"/>
      </rPr>
      <t>DOLLAR</t>
    </r>
  </si>
  <si>
    <r>
      <t xml:space="preserve">1 credit </t>
    </r>
    <r>
      <rPr>
        <b/>
        <i/>
        <sz val="9"/>
        <rFont val="Calibri"/>
        <family val="2"/>
        <scheme val="minor"/>
      </rPr>
      <t>ITEM</t>
    </r>
    <r>
      <rPr>
        <i/>
        <sz val="9"/>
        <rFont val="Calibri"/>
        <family val="2"/>
        <scheme val="minor"/>
      </rPr>
      <t xml:space="preserve"> for every ___ delivery </t>
    </r>
    <r>
      <rPr>
        <b/>
        <i/>
        <sz val="9"/>
        <rFont val="Calibri"/>
        <family val="2"/>
        <scheme val="minor"/>
      </rPr>
      <t>ITEM</t>
    </r>
  </si>
  <si>
    <t>rolling 12 wk</t>
  </si>
  <si>
    <t>rolling 6 months</t>
  </si>
  <si>
    <t>month/period</t>
  </si>
  <si>
    <t>PRIMARY C v LY same</t>
  </si>
  <si>
    <t>PRIMARY B v LY same</t>
  </si>
  <si>
    <t>PRIMARY A v LY same</t>
  </si>
  <si>
    <t>PRIMARY D v LY same</t>
  </si>
  <si>
    <t>YTD *</t>
  </si>
  <si>
    <t>YTD * months 7-12</t>
  </si>
  <si>
    <t>rolling 12 months</t>
  </si>
  <si>
    <t>Delivery item $ - Credit item $</t>
  </si>
  <si>
    <t>variant ratio</t>
  </si>
  <si>
    <t>Beer</t>
  </si>
  <si>
    <t>Wine</t>
  </si>
  <si>
    <t>Major</t>
  </si>
  <si>
    <t>Minor</t>
  </si>
  <si>
    <t>Class</t>
  </si>
  <si>
    <t>Snack</t>
  </si>
  <si>
    <t>Beverage</t>
  </si>
  <si>
    <t>Soft</t>
  </si>
  <si>
    <t>Bread</t>
  </si>
  <si>
    <t>Adult</t>
  </si>
  <si>
    <t>ICE</t>
  </si>
  <si>
    <t>Food</t>
  </si>
  <si>
    <t>GM</t>
  </si>
  <si>
    <t>Specialty</t>
  </si>
  <si>
    <t>Credit VPI &gt;</t>
  </si>
  <si>
    <t>Delivery  VPI &gt;</t>
  </si>
  <si>
    <t>TOTALS</t>
  </si>
  <si>
    <t>BASE 8 iRED Data Analytical View</t>
  </si>
  <si>
    <t>delivery average item value (-) minus the credit average item value</t>
  </si>
  <si>
    <t>credit value should be greater / variant divided by delivery avg item value</t>
  </si>
  <si>
    <t>undefine</t>
  </si>
  <si>
    <t>ALL</t>
  </si>
  <si>
    <t>Vendor Count</t>
  </si>
  <si>
    <t>SUMMARY DATA - IRED</t>
  </si>
  <si>
    <t>variant ratio - industry avg -63%</t>
  </si>
  <si>
    <t>MIN</t>
  </si>
  <si>
    <t>MAX</t>
  </si>
  <si>
    <t>DSD iRED (invoice risk evaluation data)</t>
  </si>
  <si>
    <t>DELIVERY Metrics</t>
  </si>
  <si>
    <t>VPInv = value per invoice - similar to POS SCA/SRA data = VPC</t>
  </si>
  <si>
    <t>VPItm = value per item on invoice -  similar to POS SCA/SRA data = VPI</t>
  </si>
  <si>
    <t>IPInv = items per invoice - similar to POS SCA/SRA data = IPC</t>
  </si>
  <si>
    <t>CREDIT Metrics</t>
  </si>
  <si>
    <t>COMBINED Metrics</t>
  </si>
  <si>
    <t>Delivery VPItm (minus) Credit VPItm = A $ VALUE WHICH SHOULD BE NEGATIVE credit should be higher than delivery</t>
  </si>
  <si>
    <t>VALUE (divided by) Delivery VPItm = A % VALUE WHICH SHOULD BE NEGATIVE</t>
  </si>
  <si>
    <t>Delivery value (divded by) sales value = A % VALUE</t>
  </si>
  <si>
    <t>Vendor specific comparisons – both delivery dollars and sales values</t>
  </si>
  <si>
    <t>Category specific comparisons – both delivery dollars and sales values</t>
  </si>
  <si>
    <t>SKU specific comparisons – both delivery dollars and sales values</t>
  </si>
  <si>
    <t>Credit invoice ratio to delivery invoices = 1 credit invoice per every “X” delivery invoices</t>
  </si>
  <si>
    <t>Credit value ratio = 1 credit dollar per every “X” delivery dollars</t>
  </si>
  <si>
    <t>Credit Itm ratio = 1 credit item per every “X” delivery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</si>
</sst>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#,##0.0_);[Red]\(#,##0.0\)"/>
    <numFmt numFmtId="165" formatCode="0.0%"/>
  </numFmts>
  <fonts count="10" x14ac:knownFonts="1">
    <font>
      <sz val="11"/>
      <name val="Arial"/>
    </font>
    <font>
      <sz val="8"/>
      <name val="Arial"/>
    </font>
    <font>
      <sz val="11"/>
      <name val="Arial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i/>
      <sz val="9"/>
      <name val="Calibri"/>
      <family val="2"/>
      <scheme val="minor"/>
    </font>
    <font>
      <b/>
      <sz val="18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38" fontId="4" fillId="0" borderId="1" xfId="0" applyNumberFormat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 shrinkToFit="1"/>
    </xf>
    <xf numFmtId="0" fontId="4" fillId="0" borderId="0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/>
    </xf>
    <xf numFmtId="8" fontId="4" fillId="0" borderId="1" xfId="0" applyNumberFormat="1" applyFont="1" applyBorder="1" applyAlignment="1">
      <alignment horizontal="center"/>
    </xf>
    <xf numFmtId="8" fontId="4" fillId="0" borderId="1" xfId="1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8" fontId="4" fillId="0" borderId="1" xfId="0" applyNumberFormat="1" applyFont="1" applyBorder="1" applyAlignment="1">
      <alignment horizontal="right"/>
    </xf>
    <xf numFmtId="0" fontId="4" fillId="0" borderId="1" xfId="0" applyFont="1" applyBorder="1" applyAlignment="1"/>
    <xf numFmtId="165" fontId="4" fillId="0" borderId="1" xfId="2" applyNumberFormat="1" applyFont="1" applyBorder="1" applyAlignment="1">
      <alignment horizontal="center" vertical="center"/>
    </xf>
    <xf numFmtId="165" fontId="4" fillId="3" borderId="1" xfId="2" applyNumberFormat="1" applyFont="1" applyFill="1" applyBorder="1" applyAlignment="1">
      <alignment horizontal="center" vertical="center"/>
    </xf>
    <xf numFmtId="38" fontId="4" fillId="0" borderId="0" xfId="0" applyNumberFormat="1" applyFont="1" applyAlignment="1">
      <alignment horizontal="center"/>
    </xf>
    <xf numFmtId="6" fontId="4" fillId="0" borderId="1" xfId="1" applyNumberFormat="1" applyFont="1" applyBorder="1" applyAlignment="1">
      <alignment horizontal="right"/>
    </xf>
    <xf numFmtId="6" fontId="4" fillId="0" borderId="0" xfId="0" applyNumberFormat="1" applyFont="1" applyAlignment="1">
      <alignment horizontal="right"/>
    </xf>
    <xf numFmtId="6" fontId="4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38" fontId="3" fillId="4" borderId="1" xfId="0" applyNumberFormat="1" applyFont="1" applyFill="1" applyBorder="1" applyAlignment="1">
      <alignment horizontal="center"/>
    </xf>
    <xf numFmtId="6" fontId="3" fillId="4" borderId="1" xfId="1" applyNumberFormat="1" applyFont="1" applyFill="1" applyBorder="1" applyAlignment="1">
      <alignment horizontal="right"/>
    </xf>
    <xf numFmtId="8" fontId="3" fillId="0" borderId="1" xfId="0" applyNumberFormat="1" applyFont="1" applyBorder="1" applyAlignment="1">
      <alignment horizontal="center"/>
    </xf>
    <xf numFmtId="8" fontId="3" fillId="4" borderId="1" xfId="0" applyNumberFormat="1" applyFont="1" applyFill="1" applyBorder="1" applyAlignment="1">
      <alignment horizontal="right"/>
    </xf>
    <xf numFmtId="8" fontId="3" fillId="4" borderId="1" xfId="0" applyNumberFormat="1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5" fontId="3" fillId="4" borderId="1" xfId="2" applyNumberFormat="1" applyFont="1" applyFill="1" applyBorder="1" applyAlignment="1">
      <alignment horizontal="center" vertical="center"/>
    </xf>
    <xf numFmtId="44" fontId="3" fillId="4" borderId="1" xfId="1" applyFont="1" applyFill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38" fontId="3" fillId="5" borderId="1" xfId="0" applyNumberFormat="1" applyFont="1" applyFill="1" applyBorder="1" applyAlignment="1">
      <alignment horizontal="center"/>
    </xf>
    <xf numFmtId="6" fontId="3" fillId="5" borderId="1" xfId="1" applyNumberFormat="1" applyFont="1" applyFill="1" applyBorder="1" applyAlignment="1">
      <alignment horizontal="right"/>
    </xf>
    <xf numFmtId="8" fontId="3" fillId="5" borderId="1" xfId="0" applyNumberFormat="1" applyFont="1" applyFill="1" applyBorder="1" applyAlignment="1">
      <alignment horizontal="right"/>
    </xf>
    <xf numFmtId="8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165" fontId="3" fillId="5" borderId="1" xfId="2" applyNumberFormat="1" applyFont="1" applyFill="1" applyBorder="1" applyAlignment="1">
      <alignment horizontal="center" vertical="center"/>
    </xf>
    <xf numFmtId="44" fontId="3" fillId="5" borderId="1" xfId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8" fontId="4" fillId="3" borderId="1" xfId="0" applyNumberFormat="1" applyFont="1" applyFill="1" applyBorder="1" applyAlignment="1">
      <alignment horizontal="center"/>
    </xf>
    <xf numFmtId="8" fontId="3" fillId="3" borderId="1" xfId="0" applyNumberFormat="1" applyFont="1" applyFill="1" applyBorder="1" applyAlignment="1">
      <alignment horizontal="center"/>
    </xf>
    <xf numFmtId="165" fontId="3" fillId="3" borderId="1" xfId="2" applyNumberFormat="1" applyFont="1" applyFill="1" applyBorder="1" applyAlignment="1">
      <alignment horizontal="center" vertical="center"/>
    </xf>
    <xf numFmtId="38" fontId="3" fillId="7" borderId="1" xfId="0" applyNumberFormat="1" applyFont="1" applyFill="1" applyBorder="1" applyAlignment="1">
      <alignment horizontal="center"/>
    </xf>
    <xf numFmtId="6" fontId="3" fillId="7" borderId="1" xfId="1" applyNumberFormat="1" applyFont="1" applyFill="1" applyBorder="1" applyAlignment="1">
      <alignment horizontal="right"/>
    </xf>
    <xf numFmtId="0" fontId="3" fillId="7" borderId="2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8" fontId="3" fillId="7" borderId="1" xfId="0" applyNumberFormat="1" applyFont="1" applyFill="1" applyBorder="1" applyAlignment="1">
      <alignment horizontal="right"/>
    </xf>
    <xf numFmtId="8" fontId="3" fillId="7" borderId="1" xfId="0" applyNumberFormat="1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165" fontId="3" fillId="7" borderId="1" xfId="2" applyNumberFormat="1" applyFont="1" applyFill="1" applyBorder="1" applyAlignment="1">
      <alignment horizontal="center" vertical="center"/>
    </xf>
    <xf numFmtId="44" fontId="3" fillId="7" borderId="1" xfId="1" applyFont="1" applyFill="1" applyBorder="1" applyAlignment="1">
      <alignment horizontal="center"/>
    </xf>
    <xf numFmtId="8" fontId="3" fillId="8" borderId="1" xfId="0" applyNumberFormat="1" applyFont="1" applyFill="1" applyBorder="1" applyAlignment="1">
      <alignment horizontal="center"/>
    </xf>
    <xf numFmtId="165" fontId="3" fillId="8" borderId="1" xfId="2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3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S127"/>
  <sheetViews>
    <sheetView topLeftCell="A80" zoomScale="108" workbookViewId="0">
      <selection activeCell="B14" sqref="B14:AJ108"/>
    </sheetView>
  </sheetViews>
  <sheetFormatPr defaultColWidth="10.875" defaultRowHeight="12" x14ac:dyDescent="0.2"/>
  <cols>
    <col min="1" max="1" width="10.875" style="3"/>
    <col min="2" max="2" width="53.25" style="3" bestFit="1" customWidth="1"/>
    <col min="3" max="3" width="7" style="3" bestFit="1" customWidth="1"/>
    <col min="4" max="6" width="7" style="3" customWidth="1"/>
    <col min="7" max="7" width="11.625" style="3" bestFit="1" customWidth="1"/>
    <col min="8" max="8" width="2.625" style="3" customWidth="1"/>
    <col min="9" max="9" width="14.875" style="3" bestFit="1" customWidth="1"/>
    <col min="10" max="10" width="10.875" style="3" bestFit="1" customWidth="1"/>
    <col min="11" max="11" width="13.375" style="3" customWidth="1"/>
    <col min="12" max="12" width="1.625" style="3" customWidth="1"/>
    <col min="13" max="15" width="12.625" style="3" customWidth="1"/>
    <col min="16" max="16" width="1.625" style="3" customWidth="1"/>
    <col min="17" max="17" width="0.5" style="3" customWidth="1"/>
    <col min="18" max="18" width="1.625" style="3" customWidth="1"/>
    <col min="19" max="19" width="13.25" style="3" bestFit="1" customWidth="1"/>
    <col min="20" max="20" width="9.25" style="3" bestFit="1" customWidth="1"/>
    <col min="21" max="21" width="11.625" style="3" customWidth="1"/>
    <col min="22" max="22" width="1.625" style="3" customWidth="1"/>
    <col min="23" max="25" width="12.625" style="3" customWidth="1"/>
    <col min="26" max="28" width="1.625" style="3" customWidth="1"/>
    <col min="29" max="36" width="13.625" style="3" customWidth="1"/>
    <col min="37" max="16384" width="10.875" style="3"/>
  </cols>
  <sheetData>
    <row r="3" spans="1:36" x14ac:dyDescent="0.2">
      <c r="X3" s="66" t="s">
        <v>130</v>
      </c>
      <c r="Y3" s="66"/>
      <c r="AC3" s="64" t="s">
        <v>131</v>
      </c>
      <c r="AD3" s="64" t="s">
        <v>132</v>
      </c>
      <c r="AE3" s="64" t="s">
        <v>93</v>
      </c>
      <c r="AF3" s="64" t="s">
        <v>95</v>
      </c>
      <c r="AG3" s="64" t="s">
        <v>97</v>
      </c>
      <c r="AH3" s="64" t="s">
        <v>98</v>
      </c>
      <c r="AI3" s="64" t="s">
        <v>99</v>
      </c>
      <c r="AJ3" s="64" t="s">
        <v>100</v>
      </c>
    </row>
    <row r="4" spans="1:36" x14ac:dyDescent="0.2">
      <c r="X4" s="66"/>
      <c r="Y4" s="66"/>
      <c r="AC4" s="64"/>
      <c r="AD4" s="64"/>
      <c r="AE4" s="64"/>
      <c r="AF4" s="64"/>
      <c r="AG4" s="64"/>
      <c r="AH4" s="64"/>
      <c r="AI4" s="64"/>
      <c r="AJ4" s="64"/>
    </row>
    <row r="5" spans="1:36" x14ac:dyDescent="0.2">
      <c r="X5" s="66"/>
      <c r="Y5" s="66"/>
      <c r="AC5" s="64"/>
      <c r="AD5" s="64"/>
      <c r="AE5" s="64"/>
      <c r="AF5" s="64"/>
      <c r="AG5" s="64"/>
      <c r="AH5" s="64"/>
      <c r="AI5" s="64"/>
      <c r="AJ5" s="64"/>
    </row>
    <row r="6" spans="1:36" x14ac:dyDescent="0.2">
      <c r="X6" s="66"/>
      <c r="Y6" s="66"/>
      <c r="AC6" s="64"/>
      <c r="AD6" s="64"/>
      <c r="AE6" s="64"/>
      <c r="AF6" s="64"/>
      <c r="AG6" s="64"/>
      <c r="AH6" s="64"/>
      <c r="AI6" s="64"/>
      <c r="AJ6" s="64"/>
    </row>
    <row r="7" spans="1:36" x14ac:dyDescent="0.2">
      <c r="X7" s="66"/>
      <c r="Y7" s="66"/>
      <c r="AC7" s="64"/>
      <c r="AD7" s="64"/>
      <c r="AE7" s="64"/>
      <c r="AF7" s="64"/>
      <c r="AG7" s="64"/>
      <c r="AH7" s="64"/>
      <c r="AI7" s="64"/>
      <c r="AJ7" s="64"/>
    </row>
    <row r="8" spans="1:36" x14ac:dyDescent="0.2">
      <c r="AE8" s="11"/>
      <c r="AF8" s="11"/>
      <c r="AG8" s="11"/>
      <c r="AH8" s="11"/>
      <c r="AI8" s="11"/>
      <c r="AJ8" s="11"/>
    </row>
    <row r="9" spans="1:36" x14ac:dyDescent="0.2">
      <c r="X9" s="65" t="s">
        <v>106</v>
      </c>
      <c r="Y9" s="65"/>
      <c r="AC9" s="12" t="s">
        <v>103</v>
      </c>
      <c r="AD9" s="12" t="s">
        <v>103</v>
      </c>
      <c r="AE9" s="12" t="s">
        <v>101</v>
      </c>
      <c r="AF9" s="12" t="s">
        <v>101</v>
      </c>
      <c r="AG9" s="12" t="s">
        <v>101</v>
      </c>
      <c r="AH9" s="12" t="s">
        <v>103</v>
      </c>
      <c r="AI9" s="12" t="s">
        <v>103</v>
      </c>
      <c r="AJ9" s="12" t="s">
        <v>103</v>
      </c>
    </row>
    <row r="10" spans="1:36" x14ac:dyDescent="0.2">
      <c r="X10" s="63" t="s">
        <v>105</v>
      </c>
      <c r="Y10" s="63"/>
      <c r="AC10" s="13" t="s">
        <v>101</v>
      </c>
      <c r="AD10" s="13" t="s">
        <v>101</v>
      </c>
      <c r="AE10" s="13" t="s">
        <v>102</v>
      </c>
      <c r="AF10" s="13" t="s">
        <v>102</v>
      </c>
      <c r="AG10" s="13" t="s">
        <v>102</v>
      </c>
      <c r="AH10" s="13" t="s">
        <v>101</v>
      </c>
      <c r="AI10" s="13" t="s">
        <v>101</v>
      </c>
      <c r="AJ10" s="13" t="s">
        <v>101</v>
      </c>
    </row>
    <row r="11" spans="1:36" x14ac:dyDescent="0.2">
      <c r="G11" s="3" t="s">
        <v>139</v>
      </c>
      <c r="I11" s="22">
        <f>MAX(I16:I89)</f>
        <v>12711</v>
      </c>
      <c r="J11" s="22">
        <f>MAX(J16:J89)</f>
        <v>4475701.7899999944</v>
      </c>
      <c r="K11" s="22">
        <f>MAX(K16:K89)</f>
        <v>2100886</v>
      </c>
      <c r="M11" s="22">
        <f>MAX(M16:M89)</f>
        <v>12431.025</v>
      </c>
      <c r="N11" s="22">
        <f>MAX(N16:N89)</f>
        <v>147.11272189349111</v>
      </c>
      <c r="O11" s="22">
        <f>MAX(O16:O89)</f>
        <v>1258.4669260700389</v>
      </c>
      <c r="S11" s="22">
        <f>MAX(S16:S89)</f>
        <v>1352</v>
      </c>
      <c r="T11" s="22">
        <f>MAX(T16:T89)</f>
        <v>-0.85</v>
      </c>
      <c r="U11" s="22">
        <f>MAX(U16:U89)</f>
        <v>56092</v>
      </c>
      <c r="X11" s="63" t="s">
        <v>104</v>
      </c>
      <c r="Y11" s="63"/>
      <c r="AC11" s="13" t="s">
        <v>102</v>
      </c>
      <c r="AD11" s="13" t="s">
        <v>102</v>
      </c>
      <c r="AE11" s="13" t="s">
        <v>108</v>
      </c>
      <c r="AF11" s="13" t="s">
        <v>108</v>
      </c>
      <c r="AG11" s="13" t="s">
        <v>108</v>
      </c>
      <c r="AH11" s="13" t="s">
        <v>102</v>
      </c>
      <c r="AI11" s="13" t="s">
        <v>102</v>
      </c>
      <c r="AJ11" s="13" t="s">
        <v>102</v>
      </c>
    </row>
    <row r="12" spans="1:36" x14ac:dyDescent="0.2">
      <c r="G12" s="3" t="s">
        <v>138</v>
      </c>
      <c r="I12" s="22">
        <f>MIN(I16:I89)</f>
        <v>2</v>
      </c>
      <c r="J12" s="22">
        <f>MIN(J16:J89)</f>
        <v>558.9</v>
      </c>
      <c r="K12" s="22">
        <f>MIN(K16:K89)</f>
        <v>19</v>
      </c>
      <c r="M12" s="22">
        <f>MIN(M16:M89)</f>
        <v>69.862499999999997</v>
      </c>
      <c r="N12" s="22">
        <f>MIN(N16:N89)</f>
        <v>1.05</v>
      </c>
      <c r="O12" s="22">
        <f>MIN(O16:O89)</f>
        <v>1.2027027027027026</v>
      </c>
      <c r="S12" s="22">
        <f>MIN(S16:S89)</f>
        <v>1</v>
      </c>
      <c r="T12" s="22">
        <f>MIN(T16:T89)</f>
        <v>-55809.320000000072</v>
      </c>
      <c r="U12" s="22">
        <f>MIN(U16:U89)</f>
        <v>0</v>
      </c>
      <c r="X12" s="63" t="s">
        <v>107</v>
      </c>
      <c r="Y12" s="63"/>
      <c r="AC12" s="13" t="s">
        <v>110</v>
      </c>
      <c r="AD12" s="13" t="s">
        <v>110</v>
      </c>
      <c r="AE12" s="13" t="s">
        <v>109</v>
      </c>
      <c r="AF12" s="13" t="s">
        <v>109</v>
      </c>
      <c r="AG12" s="13" t="s">
        <v>109</v>
      </c>
      <c r="AH12" s="13" t="s">
        <v>110</v>
      </c>
      <c r="AI12" s="13" t="s">
        <v>110</v>
      </c>
      <c r="AJ12" s="13" t="s">
        <v>110</v>
      </c>
    </row>
    <row r="14" spans="1:36" s="1" customFormat="1" x14ac:dyDescent="0.2">
      <c r="B14" s="62" t="s">
        <v>73</v>
      </c>
      <c r="C14" s="62" t="s">
        <v>74</v>
      </c>
      <c r="D14" s="62" t="s">
        <v>115</v>
      </c>
      <c r="E14" s="62" t="s">
        <v>116</v>
      </c>
      <c r="F14" s="62" t="s">
        <v>117</v>
      </c>
      <c r="G14" s="62" t="s">
        <v>75</v>
      </c>
      <c r="I14" s="62" t="s">
        <v>76</v>
      </c>
      <c r="J14" s="62" t="s">
        <v>77</v>
      </c>
      <c r="K14" s="62" t="s">
        <v>78</v>
      </c>
      <c r="L14" s="6"/>
      <c r="M14" s="62" t="s">
        <v>83</v>
      </c>
      <c r="N14" s="62" t="s">
        <v>84</v>
      </c>
      <c r="O14" s="62" t="s">
        <v>85</v>
      </c>
      <c r="Q14" s="9"/>
      <c r="S14" s="62" t="s">
        <v>79</v>
      </c>
      <c r="T14" s="62" t="s">
        <v>80</v>
      </c>
      <c r="U14" s="62" t="s">
        <v>81</v>
      </c>
      <c r="W14" s="62" t="s">
        <v>86</v>
      </c>
      <c r="X14" s="62" t="s">
        <v>87</v>
      </c>
      <c r="Y14" s="62" t="s">
        <v>88</v>
      </c>
      <c r="AC14" s="62" t="s">
        <v>111</v>
      </c>
      <c r="AD14" s="62" t="s">
        <v>137</v>
      </c>
      <c r="AE14" s="62" t="s">
        <v>92</v>
      </c>
      <c r="AF14" s="62" t="s">
        <v>94</v>
      </c>
      <c r="AG14" s="62" t="s">
        <v>96</v>
      </c>
      <c r="AH14" s="62" t="s">
        <v>89</v>
      </c>
      <c r="AI14" s="62" t="s">
        <v>90</v>
      </c>
      <c r="AJ14" s="62" t="s">
        <v>91</v>
      </c>
    </row>
    <row r="15" spans="1:36" s="1" customFormat="1" x14ac:dyDescent="0.2">
      <c r="B15" s="62"/>
      <c r="C15" s="62"/>
      <c r="D15" s="62"/>
      <c r="E15" s="62"/>
      <c r="F15" s="62"/>
      <c r="G15" s="62"/>
      <c r="I15" s="62"/>
      <c r="J15" s="62"/>
      <c r="K15" s="62"/>
      <c r="L15" s="6"/>
      <c r="M15" s="62"/>
      <c r="N15" s="62"/>
      <c r="O15" s="62"/>
      <c r="Q15" s="9"/>
      <c r="S15" s="62"/>
      <c r="T15" s="62"/>
      <c r="U15" s="62"/>
      <c r="W15" s="62"/>
      <c r="X15" s="62"/>
      <c r="Y15" s="62"/>
      <c r="AC15" s="62"/>
      <c r="AD15" s="62"/>
      <c r="AE15" s="62"/>
      <c r="AF15" s="62"/>
      <c r="AG15" s="62"/>
      <c r="AH15" s="62"/>
      <c r="AI15" s="62"/>
      <c r="AJ15" s="62"/>
    </row>
    <row r="16" spans="1:36" x14ac:dyDescent="0.2">
      <c r="A16" s="3">
        <v>1</v>
      </c>
      <c r="B16" s="19" t="s">
        <v>34</v>
      </c>
      <c r="C16" s="2">
        <v>12355</v>
      </c>
      <c r="D16" s="2" t="s">
        <v>119</v>
      </c>
      <c r="E16" s="2" t="s">
        <v>122</v>
      </c>
      <c r="F16" s="2" t="s">
        <v>113</v>
      </c>
      <c r="G16" s="2"/>
      <c r="I16" s="4">
        <v>73</v>
      </c>
      <c r="J16" s="23">
        <v>29885.65</v>
      </c>
      <c r="K16" s="4">
        <v>1332</v>
      </c>
      <c r="L16" s="7"/>
      <c r="M16" s="18">
        <f t="shared" ref="M16:M47" si="0">SUM(J16/I16)</f>
        <v>409.39246575342469</v>
      </c>
      <c r="N16" s="33">
        <f t="shared" ref="N16:N47" si="1">SUM(J16/K16)</f>
        <v>22.436674174174176</v>
      </c>
      <c r="O16" s="8">
        <f t="shared" ref="O16:O47" si="2">SUM(K16/I16)</f>
        <v>18.246575342465754</v>
      </c>
      <c r="Q16" s="10"/>
      <c r="S16" s="4">
        <v>1</v>
      </c>
      <c r="T16" s="23">
        <v>-61.99</v>
      </c>
      <c r="U16" s="4">
        <v>1</v>
      </c>
      <c r="W16" s="18">
        <f t="shared" ref="W16:W47" si="3">SUM(T16/S16)*-1</f>
        <v>61.99</v>
      </c>
      <c r="X16" s="49">
        <f t="shared" ref="X16:X47" si="4">SUM(T16/U16)*-1</f>
        <v>61.99</v>
      </c>
      <c r="Y16" s="8">
        <f t="shared" ref="Y16:Y47" si="5">SUM(U16/S16)</f>
        <v>1</v>
      </c>
      <c r="AC16" s="15">
        <f t="shared" ref="AC16:AC47" si="6">SUM(N16-X16)</f>
        <v>-39.553325825825823</v>
      </c>
      <c r="AD16" s="50">
        <f t="shared" ref="AD16:AD47" si="7">SUM(AC16/N16)</f>
        <v>-1.7628872050632993</v>
      </c>
      <c r="AE16" s="2"/>
      <c r="AF16" s="2"/>
      <c r="AG16" s="2"/>
      <c r="AH16" s="8">
        <f t="shared" ref="AH16:AH47" si="8">SUM(I16/S16)</f>
        <v>73</v>
      </c>
      <c r="AI16" s="5">
        <f>SUM(J16/T16)*-1</f>
        <v>482.10437167285045</v>
      </c>
      <c r="AJ16" s="8">
        <f t="shared" ref="AJ16:AJ47" si="9">SUM(K16/U16)</f>
        <v>1332</v>
      </c>
    </row>
    <row r="17" spans="1:36" x14ac:dyDescent="0.2">
      <c r="A17" s="3">
        <v>2</v>
      </c>
      <c r="B17" s="19" t="s">
        <v>7</v>
      </c>
      <c r="C17" s="2">
        <v>11906</v>
      </c>
      <c r="D17" s="2" t="s">
        <v>119</v>
      </c>
      <c r="E17" s="2"/>
      <c r="F17" s="2"/>
      <c r="G17" s="2"/>
      <c r="I17" s="4">
        <v>82</v>
      </c>
      <c r="J17" s="23">
        <v>46223.99</v>
      </c>
      <c r="K17" s="4">
        <v>2213</v>
      </c>
      <c r="L17" s="7"/>
      <c r="M17" s="18">
        <f t="shared" si="0"/>
        <v>563.70719512195114</v>
      </c>
      <c r="N17" s="33">
        <f t="shared" si="1"/>
        <v>20.887478535924085</v>
      </c>
      <c r="O17" s="8">
        <f t="shared" si="2"/>
        <v>26.987804878048781</v>
      </c>
      <c r="Q17" s="10"/>
      <c r="S17" s="4">
        <v>2</v>
      </c>
      <c r="T17" s="23">
        <v>-112.6</v>
      </c>
      <c r="U17" s="4">
        <v>2</v>
      </c>
      <c r="W17" s="18">
        <f t="shared" si="3"/>
        <v>56.3</v>
      </c>
      <c r="X17" s="49">
        <f t="shared" si="4"/>
        <v>56.3</v>
      </c>
      <c r="Y17" s="8">
        <f t="shared" si="5"/>
        <v>1</v>
      </c>
      <c r="AC17" s="15">
        <f t="shared" si="6"/>
        <v>-35.412521464075908</v>
      </c>
      <c r="AD17" s="50">
        <f t="shared" si="7"/>
        <v>-1.6953947506478775</v>
      </c>
      <c r="AE17" s="2"/>
      <c r="AF17" s="2"/>
      <c r="AG17" s="2"/>
      <c r="AH17" s="8">
        <f t="shared" si="8"/>
        <v>41</v>
      </c>
      <c r="AI17" s="5">
        <f t="shared" ref="AI17:AI79" si="10">SUM(J17/T17)*-1</f>
        <v>410.51500888099469</v>
      </c>
      <c r="AJ17" s="8">
        <f t="shared" si="9"/>
        <v>1106.5</v>
      </c>
    </row>
    <row r="18" spans="1:36" x14ac:dyDescent="0.2">
      <c r="A18" s="3">
        <v>3</v>
      </c>
      <c r="B18" s="19" t="s">
        <v>47</v>
      </c>
      <c r="C18" s="2">
        <v>22677</v>
      </c>
      <c r="D18" s="2" t="s">
        <v>119</v>
      </c>
      <c r="E18" s="2" t="s">
        <v>122</v>
      </c>
      <c r="F18" s="2" t="s">
        <v>113</v>
      </c>
      <c r="G18" s="2"/>
      <c r="I18" s="4">
        <v>97</v>
      </c>
      <c r="J18" s="23">
        <v>53628.929999999986</v>
      </c>
      <c r="K18" s="4">
        <v>2447</v>
      </c>
      <c r="L18" s="7"/>
      <c r="M18" s="18">
        <f t="shared" si="0"/>
        <v>552.87556701030917</v>
      </c>
      <c r="N18" s="33">
        <f t="shared" si="1"/>
        <v>21.916195341234157</v>
      </c>
      <c r="O18" s="8">
        <f t="shared" si="2"/>
        <v>25.226804123711339</v>
      </c>
      <c r="Q18" s="10"/>
      <c r="S18" s="4">
        <v>3</v>
      </c>
      <c r="T18" s="23">
        <v>-204.95</v>
      </c>
      <c r="U18" s="4">
        <v>7</v>
      </c>
      <c r="W18" s="18">
        <f t="shared" si="3"/>
        <v>68.316666666666663</v>
      </c>
      <c r="X18" s="49">
        <f t="shared" si="4"/>
        <v>29.278571428571428</v>
      </c>
      <c r="Y18" s="8">
        <f t="shared" si="5"/>
        <v>2.3333333333333335</v>
      </c>
      <c r="AC18" s="15">
        <f t="shared" si="6"/>
        <v>-7.362376087337271</v>
      </c>
      <c r="AD18" s="50">
        <f t="shared" si="7"/>
        <v>-0.3359331294828054</v>
      </c>
      <c r="AE18" s="2"/>
      <c r="AF18" s="2"/>
      <c r="AG18" s="2"/>
      <c r="AH18" s="8">
        <f t="shared" si="8"/>
        <v>32.333333333333336</v>
      </c>
      <c r="AI18" s="5">
        <f t="shared" si="10"/>
        <v>261.66835813613073</v>
      </c>
      <c r="AJ18" s="8">
        <f t="shared" si="9"/>
        <v>349.57142857142856</v>
      </c>
    </row>
    <row r="19" spans="1:36" x14ac:dyDescent="0.2">
      <c r="A19" s="3">
        <v>4</v>
      </c>
      <c r="B19" s="19" t="s">
        <v>5</v>
      </c>
      <c r="C19" s="2">
        <v>11897</v>
      </c>
      <c r="D19" s="2" t="s">
        <v>119</v>
      </c>
      <c r="E19" s="2"/>
      <c r="F19" s="2"/>
      <c r="G19" s="2"/>
      <c r="I19" s="4">
        <v>2649</v>
      </c>
      <c r="J19" s="23">
        <v>2483885.3900000006</v>
      </c>
      <c r="K19" s="4">
        <v>120875</v>
      </c>
      <c r="L19" s="7"/>
      <c r="M19" s="18">
        <f t="shared" si="0"/>
        <v>937.66907889769743</v>
      </c>
      <c r="N19" s="33">
        <f t="shared" si="1"/>
        <v>20.549206949327822</v>
      </c>
      <c r="O19" s="8">
        <f t="shared" si="2"/>
        <v>45.630426576066441</v>
      </c>
      <c r="Q19" s="10"/>
      <c r="S19" s="4">
        <v>4</v>
      </c>
      <c r="T19" s="23">
        <v>-569.87</v>
      </c>
      <c r="U19" s="4">
        <v>22</v>
      </c>
      <c r="W19" s="18">
        <f t="shared" si="3"/>
        <v>142.4675</v>
      </c>
      <c r="X19" s="49">
        <f t="shared" si="4"/>
        <v>25.903181818181817</v>
      </c>
      <c r="Y19" s="8">
        <f t="shared" si="5"/>
        <v>5.5</v>
      </c>
      <c r="AC19" s="15">
        <f t="shared" si="6"/>
        <v>-5.3539748688539959</v>
      </c>
      <c r="AD19" s="50">
        <f t="shared" si="7"/>
        <v>-0.26054411160763202</v>
      </c>
      <c r="AE19" s="2"/>
      <c r="AF19" s="2"/>
      <c r="AG19" s="2"/>
      <c r="AH19" s="8">
        <f t="shared" si="8"/>
        <v>662.25</v>
      </c>
      <c r="AI19" s="5">
        <f t="shared" si="10"/>
        <v>4358.6877533472552</v>
      </c>
      <c r="AJ19" s="8">
        <f t="shared" si="9"/>
        <v>5494.318181818182</v>
      </c>
    </row>
    <row r="20" spans="1:36" x14ac:dyDescent="0.2">
      <c r="A20" s="3">
        <v>5</v>
      </c>
      <c r="B20" s="19" t="s">
        <v>27</v>
      </c>
      <c r="C20" s="2">
        <v>12289</v>
      </c>
      <c r="D20" s="2" t="s">
        <v>124</v>
      </c>
      <c r="E20" s="2"/>
      <c r="F20" s="2"/>
      <c r="G20" s="2"/>
      <c r="I20" s="4">
        <v>198</v>
      </c>
      <c r="J20" s="23">
        <v>1108057.95</v>
      </c>
      <c r="K20" s="4">
        <v>96138</v>
      </c>
      <c r="L20" s="7"/>
      <c r="M20" s="18">
        <f t="shared" si="0"/>
        <v>5596.2522727272726</v>
      </c>
      <c r="N20" s="33">
        <f t="shared" si="1"/>
        <v>11.525702115708668</v>
      </c>
      <c r="O20" s="8">
        <f t="shared" si="2"/>
        <v>485.54545454545456</v>
      </c>
      <c r="Q20" s="10"/>
      <c r="S20" s="4">
        <v>1</v>
      </c>
      <c r="T20" s="23">
        <v>-144</v>
      </c>
      <c r="U20" s="4">
        <v>10</v>
      </c>
      <c r="W20" s="18">
        <f t="shared" si="3"/>
        <v>144</v>
      </c>
      <c r="X20" s="49">
        <f t="shared" si="4"/>
        <v>14.4</v>
      </c>
      <c r="Y20" s="8">
        <f t="shared" si="5"/>
        <v>10</v>
      </c>
      <c r="AC20" s="15">
        <f t="shared" si="6"/>
        <v>-2.874297884291332</v>
      </c>
      <c r="AD20" s="50">
        <f t="shared" si="7"/>
        <v>-0.24938158694678386</v>
      </c>
      <c r="AE20" s="2"/>
      <c r="AF20" s="2"/>
      <c r="AG20" s="2"/>
      <c r="AH20" s="8">
        <f t="shared" si="8"/>
        <v>198</v>
      </c>
      <c r="AI20" s="5">
        <f t="shared" si="10"/>
        <v>7694.8468749999993</v>
      </c>
      <c r="AJ20" s="8">
        <f t="shared" si="9"/>
        <v>9613.7999999999993</v>
      </c>
    </row>
    <row r="21" spans="1:36" x14ac:dyDescent="0.2">
      <c r="A21" s="3">
        <v>6</v>
      </c>
      <c r="B21" s="19" t="s">
        <v>32</v>
      </c>
      <c r="C21" s="2">
        <v>12353</v>
      </c>
      <c r="D21" s="2" t="s">
        <v>119</v>
      </c>
      <c r="E21" s="2" t="s">
        <v>122</v>
      </c>
      <c r="F21" s="2" t="s">
        <v>113</v>
      </c>
      <c r="G21" s="2"/>
      <c r="I21" s="4">
        <v>594</v>
      </c>
      <c r="J21" s="23">
        <v>207283.47999999989</v>
      </c>
      <c r="K21" s="4">
        <v>9657</v>
      </c>
      <c r="L21" s="7"/>
      <c r="M21" s="18">
        <f t="shared" si="0"/>
        <v>348.96208754208737</v>
      </c>
      <c r="N21" s="33">
        <f t="shared" si="1"/>
        <v>21.464583203893536</v>
      </c>
      <c r="O21" s="8">
        <f t="shared" si="2"/>
        <v>16.257575757575758</v>
      </c>
      <c r="Q21" s="10"/>
      <c r="S21" s="4">
        <v>31</v>
      </c>
      <c r="T21" s="23">
        <v>-1677.6199999999997</v>
      </c>
      <c r="U21" s="4">
        <v>66</v>
      </c>
      <c r="W21" s="18">
        <f t="shared" si="3"/>
        <v>54.116774193548373</v>
      </c>
      <c r="X21" s="49">
        <f t="shared" si="4"/>
        <v>25.418484848484844</v>
      </c>
      <c r="Y21" s="8">
        <f t="shared" si="5"/>
        <v>2.129032258064516</v>
      </c>
      <c r="AC21" s="15">
        <f t="shared" si="6"/>
        <v>-3.9539016445913084</v>
      </c>
      <c r="AD21" s="50">
        <f t="shared" si="7"/>
        <v>-0.18420584304073961</v>
      </c>
      <c r="AE21" s="2"/>
      <c r="AF21" s="2"/>
      <c r="AG21" s="2"/>
      <c r="AH21" s="8">
        <f t="shared" si="8"/>
        <v>19.161290322580644</v>
      </c>
      <c r="AI21" s="5">
        <f t="shared" si="10"/>
        <v>123.55806440075818</v>
      </c>
      <c r="AJ21" s="8">
        <f t="shared" si="9"/>
        <v>146.31818181818181</v>
      </c>
    </row>
    <row r="22" spans="1:36" x14ac:dyDescent="0.2">
      <c r="A22" s="3">
        <v>7</v>
      </c>
      <c r="B22" s="19" t="s">
        <v>22</v>
      </c>
      <c r="C22" s="2">
        <v>12194</v>
      </c>
      <c r="D22" s="2" t="s">
        <v>119</v>
      </c>
      <c r="E22" s="2"/>
      <c r="F22" s="2"/>
      <c r="G22" s="2"/>
      <c r="I22" s="4">
        <v>138</v>
      </c>
      <c r="J22" s="23">
        <v>68719.169999999984</v>
      </c>
      <c r="K22" s="4">
        <v>2958</v>
      </c>
      <c r="L22" s="7"/>
      <c r="M22" s="18">
        <f t="shared" si="0"/>
        <v>497.96499999999986</v>
      </c>
      <c r="N22" s="33">
        <f t="shared" si="1"/>
        <v>23.231632860040563</v>
      </c>
      <c r="O22" s="8">
        <f t="shared" si="2"/>
        <v>21.434782608695652</v>
      </c>
      <c r="Q22" s="10"/>
      <c r="S22" s="4">
        <v>10</v>
      </c>
      <c r="T22" s="23">
        <v>-601.74</v>
      </c>
      <c r="U22" s="4">
        <v>22</v>
      </c>
      <c r="W22" s="18">
        <f t="shared" si="3"/>
        <v>60.173999999999999</v>
      </c>
      <c r="X22" s="49">
        <f t="shared" si="4"/>
        <v>27.351818181818182</v>
      </c>
      <c r="Y22" s="8">
        <f t="shared" si="5"/>
        <v>2.2000000000000002</v>
      </c>
      <c r="AC22" s="15">
        <f t="shared" si="6"/>
        <v>-4.120185321777619</v>
      </c>
      <c r="AD22" s="50">
        <f t="shared" si="7"/>
        <v>-0.17735237753625663</v>
      </c>
      <c r="AE22" s="2"/>
      <c r="AF22" s="2"/>
      <c r="AG22" s="2"/>
      <c r="AH22" s="8">
        <f t="shared" si="8"/>
        <v>13.8</v>
      </c>
      <c r="AI22" s="5">
        <f t="shared" si="10"/>
        <v>114.20076777345695</v>
      </c>
      <c r="AJ22" s="8">
        <f t="shared" si="9"/>
        <v>134.45454545454547</v>
      </c>
    </row>
    <row r="23" spans="1:36" x14ac:dyDescent="0.2">
      <c r="A23" s="3">
        <v>8</v>
      </c>
      <c r="B23" s="19" t="s">
        <v>82</v>
      </c>
      <c r="C23" s="2">
        <v>41237</v>
      </c>
      <c r="D23" s="2" t="s">
        <v>125</v>
      </c>
      <c r="E23" s="2" t="s">
        <v>126</v>
      </c>
      <c r="F23" s="2"/>
      <c r="G23" s="2"/>
      <c r="I23" s="4">
        <v>1995</v>
      </c>
      <c r="J23" s="23">
        <v>437425.4000000002</v>
      </c>
      <c r="K23" s="4">
        <v>201229</v>
      </c>
      <c r="L23" s="7"/>
      <c r="M23" s="18">
        <f t="shared" si="0"/>
        <v>219.2608521303259</v>
      </c>
      <c r="N23" s="33">
        <f t="shared" si="1"/>
        <v>2.173769188337666</v>
      </c>
      <c r="O23" s="8">
        <f t="shared" si="2"/>
        <v>100.86666666666666</v>
      </c>
      <c r="Q23" s="10"/>
      <c r="S23" s="4">
        <v>311</v>
      </c>
      <c r="T23" s="23">
        <v>-23597.810000000012</v>
      </c>
      <c r="U23" s="4">
        <v>9337</v>
      </c>
      <c r="W23" s="18">
        <f t="shared" si="3"/>
        <v>75.877202572347301</v>
      </c>
      <c r="X23" s="49">
        <f t="shared" si="4"/>
        <v>2.5273439006104756</v>
      </c>
      <c r="Y23" s="8">
        <f t="shared" si="5"/>
        <v>30.022508038585208</v>
      </c>
      <c r="AC23" s="15">
        <f t="shared" si="6"/>
        <v>-0.35357471227280968</v>
      </c>
      <c r="AD23" s="50">
        <f t="shared" si="7"/>
        <v>-0.16265513108279764</v>
      </c>
      <c r="AE23" s="2"/>
      <c r="AF23" s="2"/>
      <c r="AG23" s="2"/>
      <c r="AH23" s="8">
        <f t="shared" si="8"/>
        <v>6.414790996784566</v>
      </c>
      <c r="AI23" s="5">
        <f t="shared" si="10"/>
        <v>18.536694718704826</v>
      </c>
      <c r="AJ23" s="8">
        <f t="shared" si="9"/>
        <v>21.551783228017566</v>
      </c>
    </row>
    <row r="24" spans="1:36" x14ac:dyDescent="0.2">
      <c r="A24" s="3">
        <v>9</v>
      </c>
      <c r="B24" s="19" t="s">
        <v>36</v>
      </c>
      <c r="C24" s="2">
        <v>12570</v>
      </c>
      <c r="D24" s="2" t="s">
        <v>119</v>
      </c>
      <c r="E24" s="2"/>
      <c r="F24" s="2"/>
      <c r="G24" s="2"/>
      <c r="I24" s="4">
        <v>13</v>
      </c>
      <c r="J24" s="23">
        <v>9149.4500000000007</v>
      </c>
      <c r="K24" s="4">
        <v>449</v>
      </c>
      <c r="L24" s="7"/>
      <c r="M24" s="18">
        <f t="shared" si="0"/>
        <v>703.80384615384617</v>
      </c>
      <c r="N24" s="33">
        <f t="shared" si="1"/>
        <v>20.377394209354122</v>
      </c>
      <c r="O24" s="8">
        <f t="shared" si="2"/>
        <v>34.53846153846154</v>
      </c>
      <c r="Q24" s="10"/>
      <c r="S24" s="4">
        <v>1</v>
      </c>
      <c r="T24" s="23">
        <v>-257.45</v>
      </c>
      <c r="U24" s="4">
        <v>11</v>
      </c>
      <c r="W24" s="18">
        <f t="shared" si="3"/>
        <v>257.45</v>
      </c>
      <c r="X24" s="49">
        <f t="shared" si="4"/>
        <v>23.404545454545453</v>
      </c>
      <c r="Y24" s="8">
        <f t="shared" si="5"/>
        <v>11</v>
      </c>
      <c r="AC24" s="15">
        <f t="shared" si="6"/>
        <v>-3.0271512451913303</v>
      </c>
      <c r="AD24" s="50">
        <f t="shared" si="7"/>
        <v>-0.14855438404394877</v>
      </c>
      <c r="AE24" s="2"/>
      <c r="AF24" s="2"/>
      <c r="AG24" s="2"/>
      <c r="AH24" s="8">
        <f t="shared" si="8"/>
        <v>13</v>
      </c>
      <c r="AI24" s="5">
        <f t="shared" si="10"/>
        <v>35.538745387453879</v>
      </c>
      <c r="AJ24" s="8">
        <f t="shared" si="9"/>
        <v>40.81818181818182</v>
      </c>
    </row>
    <row r="25" spans="1:36" x14ac:dyDescent="0.2">
      <c r="A25" s="3">
        <v>10</v>
      </c>
      <c r="B25" s="19" t="s">
        <v>42</v>
      </c>
      <c r="C25" s="2">
        <v>13648</v>
      </c>
      <c r="D25" s="2" t="s">
        <v>119</v>
      </c>
      <c r="E25" s="2"/>
      <c r="F25" s="2"/>
      <c r="G25" s="2"/>
      <c r="I25" s="4">
        <v>148</v>
      </c>
      <c r="J25" s="23">
        <v>39024.700000000012</v>
      </c>
      <c r="K25" s="4">
        <v>1332</v>
      </c>
      <c r="L25" s="7"/>
      <c r="M25" s="18">
        <f t="shared" si="0"/>
        <v>263.68040540540551</v>
      </c>
      <c r="N25" s="33">
        <f t="shared" si="1"/>
        <v>29.29782282282283</v>
      </c>
      <c r="O25" s="8">
        <f t="shared" si="2"/>
        <v>9</v>
      </c>
      <c r="Q25" s="10"/>
      <c r="S25" s="4">
        <v>2</v>
      </c>
      <c r="T25" s="23">
        <v>-66.5</v>
      </c>
      <c r="U25" s="4">
        <v>2</v>
      </c>
      <c r="W25" s="18">
        <f t="shared" si="3"/>
        <v>33.25</v>
      </c>
      <c r="X25" s="49">
        <f t="shared" si="4"/>
        <v>33.25</v>
      </c>
      <c r="Y25" s="8">
        <f t="shared" si="5"/>
        <v>1</v>
      </c>
      <c r="AC25" s="15">
        <f t="shared" si="6"/>
        <v>-3.9521771771771697</v>
      </c>
      <c r="AD25" s="50">
        <f t="shared" si="7"/>
        <v>-0.13489661675810419</v>
      </c>
      <c r="AE25" s="2"/>
      <c r="AF25" s="2"/>
      <c r="AG25" s="2"/>
      <c r="AH25" s="8">
        <f t="shared" si="8"/>
        <v>74</v>
      </c>
      <c r="AI25" s="5">
        <f t="shared" si="10"/>
        <v>586.83759398496261</v>
      </c>
      <c r="AJ25" s="8">
        <f t="shared" si="9"/>
        <v>666</v>
      </c>
    </row>
    <row r="26" spans="1:36" x14ac:dyDescent="0.2">
      <c r="A26" s="3">
        <v>11</v>
      </c>
      <c r="B26" s="19" t="s">
        <v>49</v>
      </c>
      <c r="C26" s="2">
        <v>32577</v>
      </c>
      <c r="D26" s="2" t="s">
        <v>119</v>
      </c>
      <c r="E26" s="2"/>
      <c r="F26" s="2"/>
      <c r="G26" s="2"/>
      <c r="I26" s="4">
        <v>121</v>
      </c>
      <c r="J26" s="23">
        <v>126509.60999999997</v>
      </c>
      <c r="K26" s="4">
        <v>5199</v>
      </c>
      <c r="L26" s="7"/>
      <c r="M26" s="18">
        <f t="shared" si="0"/>
        <v>1045.5339669421485</v>
      </c>
      <c r="N26" s="33">
        <f t="shared" si="1"/>
        <v>24.333450663589147</v>
      </c>
      <c r="O26" s="8">
        <f t="shared" si="2"/>
        <v>42.966942148760332</v>
      </c>
      <c r="Q26" s="10"/>
      <c r="S26" s="4">
        <v>10</v>
      </c>
      <c r="T26" s="23">
        <v>-600.25000000000011</v>
      </c>
      <c r="U26" s="4">
        <v>22</v>
      </c>
      <c r="W26" s="18">
        <f t="shared" si="3"/>
        <v>60.025000000000013</v>
      </c>
      <c r="X26" s="49">
        <f t="shared" si="4"/>
        <v>27.284090909090914</v>
      </c>
      <c r="Y26" s="8">
        <f t="shared" si="5"/>
        <v>2.2000000000000002</v>
      </c>
      <c r="AC26" s="15">
        <f t="shared" si="6"/>
        <v>-2.9506402455017664</v>
      </c>
      <c r="AD26" s="50">
        <f t="shared" si="7"/>
        <v>-0.12125860348762189</v>
      </c>
      <c r="AE26" s="2"/>
      <c r="AF26" s="2"/>
      <c r="AG26" s="2"/>
      <c r="AH26" s="8">
        <f t="shared" si="8"/>
        <v>12.1</v>
      </c>
      <c r="AI26" s="5">
        <f t="shared" si="10"/>
        <v>210.76153269471044</v>
      </c>
      <c r="AJ26" s="8">
        <f t="shared" si="9"/>
        <v>236.31818181818181</v>
      </c>
    </row>
    <row r="27" spans="1:36" x14ac:dyDescent="0.2">
      <c r="A27" s="3">
        <v>12</v>
      </c>
      <c r="B27" s="19" t="s">
        <v>38</v>
      </c>
      <c r="C27" s="2">
        <v>12696</v>
      </c>
      <c r="D27" s="2" t="s">
        <v>119</v>
      </c>
      <c r="E27" s="2"/>
      <c r="F27" s="2"/>
      <c r="G27" s="2"/>
      <c r="I27" s="4">
        <v>257</v>
      </c>
      <c r="J27" s="23">
        <v>136668.04999999993</v>
      </c>
      <c r="K27" s="4">
        <v>6085</v>
      </c>
      <c r="L27" s="7"/>
      <c r="M27" s="18">
        <f t="shared" si="0"/>
        <v>531.78229571984411</v>
      </c>
      <c r="N27" s="33">
        <f t="shared" si="1"/>
        <v>22.459827444535733</v>
      </c>
      <c r="O27" s="8">
        <f t="shared" si="2"/>
        <v>23.677042801556421</v>
      </c>
      <c r="Q27" s="10"/>
      <c r="S27" s="4">
        <v>5</v>
      </c>
      <c r="T27" s="23">
        <v>-449.55000000000007</v>
      </c>
      <c r="U27" s="4">
        <v>18</v>
      </c>
      <c r="W27" s="18">
        <f t="shared" si="3"/>
        <v>89.910000000000011</v>
      </c>
      <c r="X27" s="49">
        <f t="shared" si="4"/>
        <v>24.975000000000005</v>
      </c>
      <c r="Y27" s="8">
        <f t="shared" si="5"/>
        <v>3.6</v>
      </c>
      <c r="AC27" s="15">
        <f t="shared" si="6"/>
        <v>-2.5151725554642717</v>
      </c>
      <c r="AD27" s="50">
        <f t="shared" si="7"/>
        <v>-0.11198539087958086</v>
      </c>
      <c r="AE27" s="2"/>
      <c r="AF27" s="2"/>
      <c r="AG27" s="2"/>
      <c r="AH27" s="8">
        <f t="shared" si="8"/>
        <v>51.4</v>
      </c>
      <c r="AI27" s="5">
        <f t="shared" si="10"/>
        <v>304.01078856634393</v>
      </c>
      <c r="AJ27" s="8">
        <f t="shared" si="9"/>
        <v>338.05555555555554</v>
      </c>
    </row>
    <row r="28" spans="1:36" x14ac:dyDescent="0.2">
      <c r="A28" s="3">
        <v>13</v>
      </c>
      <c r="B28" s="19" t="s">
        <v>2</v>
      </c>
      <c r="C28" s="2">
        <v>11887</v>
      </c>
      <c r="D28" s="2" t="s">
        <v>119</v>
      </c>
      <c r="E28" s="2"/>
      <c r="F28" s="2"/>
      <c r="G28" s="2"/>
      <c r="I28" s="4">
        <v>257</v>
      </c>
      <c r="J28" s="23">
        <v>218723.46000000011</v>
      </c>
      <c r="K28" s="4">
        <v>9636</v>
      </c>
      <c r="L28" s="7"/>
      <c r="M28" s="18">
        <f t="shared" si="0"/>
        <v>851.06404669260746</v>
      </c>
      <c r="N28" s="33">
        <f t="shared" si="1"/>
        <v>22.698574097135751</v>
      </c>
      <c r="O28" s="8">
        <f t="shared" si="2"/>
        <v>37.494163424124515</v>
      </c>
      <c r="Q28" s="10"/>
      <c r="S28" s="4">
        <v>13</v>
      </c>
      <c r="T28" s="23">
        <v>-1681.5</v>
      </c>
      <c r="U28" s="4">
        <v>68</v>
      </c>
      <c r="W28" s="18">
        <f t="shared" si="3"/>
        <v>129.34615384615384</v>
      </c>
      <c r="X28" s="49">
        <f t="shared" si="4"/>
        <v>24.727941176470587</v>
      </c>
      <c r="Y28" s="8">
        <f t="shared" si="5"/>
        <v>5.2307692307692308</v>
      </c>
      <c r="AC28" s="15">
        <f t="shared" si="6"/>
        <v>-2.0293670793348362</v>
      </c>
      <c r="AD28" s="50">
        <f t="shared" si="7"/>
        <v>-8.940504679502817E-2</v>
      </c>
      <c r="AE28" s="2"/>
      <c r="AF28" s="2"/>
      <c r="AG28" s="2"/>
      <c r="AH28" s="8">
        <f t="shared" si="8"/>
        <v>19.76923076923077</v>
      </c>
      <c r="AI28" s="5">
        <f t="shared" si="10"/>
        <v>130.07639607493317</v>
      </c>
      <c r="AJ28" s="8">
        <f t="shared" si="9"/>
        <v>141.70588235294119</v>
      </c>
    </row>
    <row r="29" spans="1:36" x14ac:dyDescent="0.2">
      <c r="A29" s="3">
        <v>14</v>
      </c>
      <c r="B29" s="19" t="s">
        <v>48</v>
      </c>
      <c r="C29" s="2">
        <v>22678</v>
      </c>
      <c r="D29" s="2" t="s">
        <v>119</v>
      </c>
      <c r="E29" s="2"/>
      <c r="F29" s="2"/>
      <c r="G29" s="2"/>
      <c r="I29" s="4">
        <v>37</v>
      </c>
      <c r="J29" s="23">
        <v>14031.149999999998</v>
      </c>
      <c r="K29" s="4">
        <v>673</v>
      </c>
      <c r="L29" s="7"/>
      <c r="M29" s="18">
        <f t="shared" si="0"/>
        <v>379.22027027027019</v>
      </c>
      <c r="N29" s="33">
        <f t="shared" si="1"/>
        <v>20.84866270430906</v>
      </c>
      <c r="O29" s="8">
        <f t="shared" si="2"/>
        <v>18.189189189189189</v>
      </c>
      <c r="Q29" s="10"/>
      <c r="S29" s="4">
        <v>2</v>
      </c>
      <c r="T29" s="23">
        <v>-67.800000000000011</v>
      </c>
      <c r="U29" s="4">
        <v>3</v>
      </c>
      <c r="W29" s="18">
        <f t="shared" si="3"/>
        <v>33.900000000000006</v>
      </c>
      <c r="X29" s="49">
        <f t="shared" si="4"/>
        <v>22.600000000000005</v>
      </c>
      <c r="Y29" s="8">
        <f t="shared" si="5"/>
        <v>1.5</v>
      </c>
      <c r="AC29" s="15">
        <f t="shared" si="6"/>
        <v>-1.751337295690945</v>
      </c>
      <c r="AD29" s="50">
        <f t="shared" si="7"/>
        <v>-8.4002380417856432E-2</v>
      </c>
      <c r="AE29" s="2"/>
      <c r="AF29" s="2"/>
      <c r="AG29" s="2"/>
      <c r="AH29" s="8">
        <f t="shared" si="8"/>
        <v>18.5</v>
      </c>
      <c r="AI29" s="5">
        <f t="shared" si="10"/>
        <v>206.94911504424772</v>
      </c>
      <c r="AJ29" s="8">
        <f t="shared" si="9"/>
        <v>224.33333333333334</v>
      </c>
    </row>
    <row r="30" spans="1:36" x14ac:dyDescent="0.2">
      <c r="A30" s="3">
        <v>15</v>
      </c>
      <c r="B30" s="19" t="s">
        <v>41</v>
      </c>
      <c r="C30" s="2">
        <v>12973</v>
      </c>
      <c r="D30" s="2" t="s">
        <v>119</v>
      </c>
      <c r="E30" s="2"/>
      <c r="F30" s="2"/>
      <c r="G30" s="2"/>
      <c r="I30" s="4">
        <v>1225</v>
      </c>
      <c r="J30" s="23">
        <v>136995.79999999938</v>
      </c>
      <c r="K30" s="4">
        <v>4308</v>
      </c>
      <c r="L30" s="7"/>
      <c r="M30" s="18">
        <f t="shared" si="0"/>
        <v>111.83330612244848</v>
      </c>
      <c r="N30" s="33">
        <f t="shared" si="1"/>
        <v>31.800324976787227</v>
      </c>
      <c r="O30" s="8">
        <f t="shared" si="2"/>
        <v>3.516734693877551</v>
      </c>
      <c r="Q30" s="10"/>
      <c r="S30" s="4">
        <v>7</v>
      </c>
      <c r="T30" s="23">
        <v>-408.25</v>
      </c>
      <c r="U30" s="4">
        <v>12</v>
      </c>
      <c r="W30" s="18">
        <f t="shared" si="3"/>
        <v>58.321428571428569</v>
      </c>
      <c r="X30" s="49">
        <f t="shared" si="4"/>
        <v>34.020833333333336</v>
      </c>
      <c r="Y30" s="8">
        <f t="shared" si="5"/>
        <v>1.7142857142857142</v>
      </c>
      <c r="AC30" s="15">
        <f t="shared" si="6"/>
        <v>-2.2205083565461088</v>
      </c>
      <c r="AD30" s="50">
        <f t="shared" si="7"/>
        <v>-6.9826593224030814E-2</v>
      </c>
      <c r="AE30" s="2"/>
      <c r="AF30" s="2"/>
      <c r="AG30" s="2"/>
      <c r="AH30" s="8">
        <f t="shared" si="8"/>
        <v>175</v>
      </c>
      <c r="AI30" s="5">
        <f t="shared" si="10"/>
        <v>335.56840171463409</v>
      </c>
      <c r="AJ30" s="8">
        <f t="shared" si="9"/>
        <v>359</v>
      </c>
    </row>
    <row r="31" spans="1:36" x14ac:dyDescent="0.2">
      <c r="A31" s="3">
        <v>16</v>
      </c>
      <c r="B31" s="19" t="s">
        <v>53</v>
      </c>
      <c r="C31" s="2">
        <v>41397</v>
      </c>
      <c r="D31" s="2" t="s">
        <v>119</v>
      </c>
      <c r="E31" s="2" t="s">
        <v>122</v>
      </c>
      <c r="F31" s="2" t="s">
        <v>113</v>
      </c>
      <c r="G31" s="2"/>
      <c r="I31" s="4">
        <v>289</v>
      </c>
      <c r="J31" s="23">
        <v>24983.000000000007</v>
      </c>
      <c r="K31" s="4">
        <v>789</v>
      </c>
      <c r="L31" s="7"/>
      <c r="M31" s="18">
        <f t="shared" si="0"/>
        <v>86.446366782006947</v>
      </c>
      <c r="N31" s="33">
        <f t="shared" si="1"/>
        <v>31.664131812420795</v>
      </c>
      <c r="O31" s="8">
        <f t="shared" si="2"/>
        <v>2.7301038062283736</v>
      </c>
      <c r="Q31" s="10"/>
      <c r="S31" s="4">
        <v>1</v>
      </c>
      <c r="T31" s="23">
        <v>-33.700000000000003</v>
      </c>
      <c r="U31" s="4">
        <v>1</v>
      </c>
      <c r="W31" s="18">
        <f t="shared" si="3"/>
        <v>33.700000000000003</v>
      </c>
      <c r="X31" s="49">
        <f t="shared" si="4"/>
        <v>33.700000000000003</v>
      </c>
      <c r="Y31" s="8">
        <f t="shared" si="5"/>
        <v>1</v>
      </c>
      <c r="AC31" s="15">
        <f t="shared" si="6"/>
        <v>-2.035868187579208</v>
      </c>
      <c r="AD31" s="50">
        <f t="shared" si="7"/>
        <v>-6.4295721090341221E-2</v>
      </c>
      <c r="AE31" s="2"/>
      <c r="AF31" s="2"/>
      <c r="AG31" s="2"/>
      <c r="AH31" s="8">
        <f t="shared" si="8"/>
        <v>289</v>
      </c>
      <c r="AI31" s="5">
        <f t="shared" si="10"/>
        <v>741.33531157270045</v>
      </c>
      <c r="AJ31" s="8">
        <f t="shared" si="9"/>
        <v>789</v>
      </c>
    </row>
    <row r="32" spans="1:36" x14ac:dyDescent="0.2">
      <c r="A32" s="3">
        <v>17</v>
      </c>
      <c r="B32" s="19" t="s">
        <v>21</v>
      </c>
      <c r="C32" s="2">
        <v>12144</v>
      </c>
      <c r="D32" s="2" t="s">
        <v>119</v>
      </c>
      <c r="E32" s="2"/>
      <c r="F32" s="2"/>
      <c r="G32" s="2"/>
      <c r="I32" s="4">
        <v>518</v>
      </c>
      <c r="J32" s="23">
        <v>145016.75</v>
      </c>
      <c r="K32" s="4">
        <v>6336</v>
      </c>
      <c r="L32" s="7"/>
      <c r="M32" s="18">
        <f t="shared" si="0"/>
        <v>279.95511583011586</v>
      </c>
      <c r="N32" s="33">
        <f t="shared" si="1"/>
        <v>22.887744633838384</v>
      </c>
      <c r="O32" s="8">
        <f t="shared" si="2"/>
        <v>12.231660231660232</v>
      </c>
      <c r="Q32" s="10"/>
      <c r="S32" s="4">
        <v>5</v>
      </c>
      <c r="T32" s="23">
        <v>-650</v>
      </c>
      <c r="U32" s="4">
        <v>27</v>
      </c>
      <c r="W32" s="18">
        <f t="shared" si="3"/>
        <v>130</v>
      </c>
      <c r="X32" s="49">
        <f t="shared" si="4"/>
        <v>24.074074074074073</v>
      </c>
      <c r="Y32" s="8">
        <f t="shared" si="5"/>
        <v>5.4</v>
      </c>
      <c r="AC32" s="15">
        <f t="shared" si="6"/>
        <v>-1.1863294402356885</v>
      </c>
      <c r="AD32" s="50">
        <f t="shared" si="7"/>
        <v>-5.1832518197610429E-2</v>
      </c>
      <c r="AE32" s="2"/>
      <c r="AF32" s="2"/>
      <c r="AG32" s="2"/>
      <c r="AH32" s="8">
        <f t="shared" si="8"/>
        <v>103.6</v>
      </c>
      <c r="AI32" s="5">
        <f t="shared" si="10"/>
        <v>223.10269230769231</v>
      </c>
      <c r="AJ32" s="8">
        <f t="shared" si="9"/>
        <v>234.66666666666666</v>
      </c>
    </row>
    <row r="33" spans="1:36" x14ac:dyDescent="0.2">
      <c r="A33" s="3">
        <v>18</v>
      </c>
      <c r="B33" s="19" t="s">
        <v>25</v>
      </c>
      <c r="C33" s="2">
        <v>12208</v>
      </c>
      <c r="D33" s="2" t="s">
        <v>119</v>
      </c>
      <c r="E33" s="2"/>
      <c r="F33" s="2"/>
      <c r="G33" s="2"/>
      <c r="I33" s="4">
        <v>317</v>
      </c>
      <c r="J33" s="23">
        <v>336278.18000000011</v>
      </c>
      <c r="K33" s="4">
        <v>13743</v>
      </c>
      <c r="L33" s="7"/>
      <c r="M33" s="18">
        <f t="shared" si="0"/>
        <v>1060.8144479495272</v>
      </c>
      <c r="N33" s="33">
        <f t="shared" si="1"/>
        <v>24.469051880957586</v>
      </c>
      <c r="O33" s="8">
        <f t="shared" si="2"/>
        <v>43.353312302839115</v>
      </c>
      <c r="Q33" s="10"/>
      <c r="S33" s="4">
        <v>17</v>
      </c>
      <c r="T33" s="23">
        <v>-1765.95</v>
      </c>
      <c r="U33" s="4">
        <v>69</v>
      </c>
      <c r="W33" s="18">
        <f t="shared" si="3"/>
        <v>103.87941176470588</v>
      </c>
      <c r="X33" s="49">
        <f t="shared" si="4"/>
        <v>25.593478260869567</v>
      </c>
      <c r="Y33" s="8">
        <f t="shared" si="5"/>
        <v>4.0588235294117645</v>
      </c>
      <c r="AC33" s="15">
        <f t="shared" si="6"/>
        <v>-1.1244263799119807</v>
      </c>
      <c r="AD33" s="50">
        <f t="shared" si="7"/>
        <v>-4.5953001586752806E-2</v>
      </c>
      <c r="AE33" s="2"/>
      <c r="AF33" s="2"/>
      <c r="AG33" s="2"/>
      <c r="AH33" s="8">
        <f t="shared" si="8"/>
        <v>18.647058823529413</v>
      </c>
      <c r="AI33" s="5">
        <f t="shared" si="10"/>
        <v>190.42338684560724</v>
      </c>
      <c r="AJ33" s="8">
        <f t="shared" si="9"/>
        <v>199.17391304347825</v>
      </c>
    </row>
    <row r="34" spans="1:36" x14ac:dyDescent="0.2">
      <c r="A34" s="3">
        <v>19</v>
      </c>
      <c r="B34" s="19" t="s">
        <v>70</v>
      </c>
      <c r="C34" s="2">
        <v>76837</v>
      </c>
      <c r="D34" s="2" t="s">
        <v>124</v>
      </c>
      <c r="E34" s="2"/>
      <c r="F34" s="2"/>
      <c r="G34" s="2"/>
      <c r="I34" s="4">
        <v>14</v>
      </c>
      <c r="J34" s="23">
        <v>20183.03</v>
      </c>
      <c r="K34" s="4">
        <v>2451</v>
      </c>
      <c r="L34" s="7"/>
      <c r="M34" s="18">
        <f t="shared" si="0"/>
        <v>1441.645</v>
      </c>
      <c r="N34" s="33">
        <f t="shared" si="1"/>
        <v>8.2346103631170937</v>
      </c>
      <c r="O34" s="8">
        <f t="shared" si="2"/>
        <v>175.07142857142858</v>
      </c>
      <c r="Q34" s="10"/>
      <c r="S34" s="4">
        <v>2</v>
      </c>
      <c r="T34" s="23">
        <v>-90.92</v>
      </c>
      <c r="U34" s="4">
        <v>11</v>
      </c>
      <c r="W34" s="18">
        <f t="shared" si="3"/>
        <v>45.46</v>
      </c>
      <c r="X34" s="49">
        <f t="shared" si="4"/>
        <v>8.2654545454545456</v>
      </c>
      <c r="Y34" s="8">
        <f t="shared" si="5"/>
        <v>5.5</v>
      </c>
      <c r="AC34" s="15">
        <f t="shared" si="6"/>
        <v>-3.0844182337451898E-2</v>
      </c>
      <c r="AD34" s="50">
        <f t="shared" si="7"/>
        <v>-3.7456759916174435E-3</v>
      </c>
      <c r="AE34" s="2"/>
      <c r="AF34" s="2"/>
      <c r="AG34" s="2"/>
      <c r="AH34" s="8">
        <f t="shared" si="8"/>
        <v>7</v>
      </c>
      <c r="AI34" s="5">
        <f t="shared" si="10"/>
        <v>221.98669159700833</v>
      </c>
      <c r="AJ34" s="8">
        <f t="shared" si="9"/>
        <v>222.81818181818181</v>
      </c>
    </row>
    <row r="35" spans="1:36" x14ac:dyDescent="0.2">
      <c r="A35" s="3">
        <v>20</v>
      </c>
      <c r="B35" s="19" t="s">
        <v>17</v>
      </c>
      <c r="C35" s="2">
        <v>12040</v>
      </c>
      <c r="D35" s="2" t="s">
        <v>119</v>
      </c>
      <c r="E35" s="2" t="s">
        <v>122</v>
      </c>
      <c r="F35" s="2" t="s">
        <v>114</v>
      </c>
      <c r="G35" s="2"/>
      <c r="I35" s="4">
        <v>1542</v>
      </c>
      <c r="J35" s="23">
        <v>511435.48999999987</v>
      </c>
      <c r="K35" s="4">
        <v>11052</v>
      </c>
      <c r="L35" s="7"/>
      <c r="M35" s="18">
        <f t="shared" si="0"/>
        <v>331.67022697795062</v>
      </c>
      <c r="N35" s="33">
        <f t="shared" si="1"/>
        <v>46.27537911690191</v>
      </c>
      <c r="O35" s="8">
        <f t="shared" si="2"/>
        <v>7.1673151750972766</v>
      </c>
      <c r="Q35" s="10"/>
      <c r="S35" s="4">
        <v>185</v>
      </c>
      <c r="T35" s="23">
        <v>-18109.360000000011</v>
      </c>
      <c r="U35" s="4">
        <v>391</v>
      </c>
      <c r="W35" s="18">
        <f t="shared" si="3"/>
        <v>97.888432432432495</v>
      </c>
      <c r="X35" s="49">
        <f t="shared" si="4"/>
        <v>46.315498721227648</v>
      </c>
      <c r="Y35" s="8">
        <f t="shared" si="5"/>
        <v>2.1135135135135137</v>
      </c>
      <c r="AC35" s="15">
        <f t="shared" si="6"/>
        <v>-4.0119604325738578E-2</v>
      </c>
      <c r="AD35" s="50">
        <f t="shared" si="7"/>
        <v>-8.6697516241601236E-4</v>
      </c>
      <c r="AE35" s="2"/>
      <c r="AF35" s="2"/>
      <c r="AG35" s="2"/>
      <c r="AH35" s="8">
        <f t="shared" si="8"/>
        <v>8.3351351351351344</v>
      </c>
      <c r="AI35" s="5">
        <f t="shared" si="10"/>
        <v>28.241499975703146</v>
      </c>
      <c r="AJ35" s="8">
        <f t="shared" si="9"/>
        <v>28.265984654731458</v>
      </c>
    </row>
    <row r="36" spans="1:36" x14ac:dyDescent="0.2">
      <c r="A36" s="3">
        <v>21</v>
      </c>
      <c r="B36" s="19" t="s">
        <v>43</v>
      </c>
      <c r="C36" s="2">
        <v>16043</v>
      </c>
      <c r="D36" s="2" t="s">
        <v>123</v>
      </c>
      <c r="E36" s="2"/>
      <c r="F36" s="2"/>
      <c r="G36" s="2"/>
      <c r="I36" s="4">
        <v>479</v>
      </c>
      <c r="J36" s="23">
        <v>52620.75</v>
      </c>
      <c r="K36" s="4">
        <v>50115</v>
      </c>
      <c r="L36" s="7"/>
      <c r="M36" s="18">
        <f t="shared" si="0"/>
        <v>109.8554279749478</v>
      </c>
      <c r="N36" s="15">
        <f t="shared" si="1"/>
        <v>1.05</v>
      </c>
      <c r="O36" s="8">
        <f t="shared" si="2"/>
        <v>104.62421711899792</v>
      </c>
      <c r="Q36" s="10"/>
      <c r="S36" s="4">
        <v>5</v>
      </c>
      <c r="T36" s="23">
        <v>-514.5</v>
      </c>
      <c r="U36" s="4">
        <v>490</v>
      </c>
      <c r="W36" s="18">
        <f t="shared" si="3"/>
        <v>102.9</v>
      </c>
      <c r="X36" s="15">
        <f t="shared" si="4"/>
        <v>1.05</v>
      </c>
      <c r="Y36" s="8">
        <f t="shared" si="5"/>
        <v>98</v>
      </c>
      <c r="AC36" s="60">
        <f t="shared" si="6"/>
        <v>0</v>
      </c>
      <c r="AD36" s="61">
        <f t="shared" si="7"/>
        <v>0</v>
      </c>
      <c r="AE36" s="2"/>
      <c r="AF36" s="2"/>
      <c r="AG36" s="2"/>
      <c r="AH36" s="8">
        <f t="shared" si="8"/>
        <v>95.8</v>
      </c>
      <c r="AI36" s="5">
        <f t="shared" si="10"/>
        <v>102.27551020408163</v>
      </c>
      <c r="AJ36" s="8">
        <f t="shared" si="9"/>
        <v>102.27551020408163</v>
      </c>
    </row>
    <row r="37" spans="1:36" x14ac:dyDescent="0.2">
      <c r="A37" s="3">
        <v>22</v>
      </c>
      <c r="B37" s="19" t="s">
        <v>14</v>
      </c>
      <c r="C37" s="2">
        <v>12023</v>
      </c>
      <c r="D37" s="2" t="s">
        <v>123</v>
      </c>
      <c r="E37" s="2"/>
      <c r="F37" s="2"/>
      <c r="G37" s="2"/>
      <c r="I37" s="4">
        <v>605</v>
      </c>
      <c r="J37" s="23">
        <v>53161.500000000022</v>
      </c>
      <c r="K37" s="4">
        <v>50630</v>
      </c>
      <c r="L37" s="7"/>
      <c r="M37" s="18">
        <f t="shared" si="0"/>
        <v>87.870247933884329</v>
      </c>
      <c r="N37" s="15">
        <f t="shared" si="1"/>
        <v>1.0500000000000005</v>
      </c>
      <c r="O37" s="8">
        <f t="shared" si="2"/>
        <v>83.685950413223139</v>
      </c>
      <c r="Q37" s="10"/>
      <c r="S37" s="4">
        <v>4</v>
      </c>
      <c r="T37" s="23">
        <v>-180.6</v>
      </c>
      <c r="U37" s="4">
        <v>172</v>
      </c>
      <c r="W37" s="18">
        <f t="shared" si="3"/>
        <v>45.15</v>
      </c>
      <c r="X37" s="15">
        <f t="shared" si="4"/>
        <v>1.05</v>
      </c>
      <c r="Y37" s="8">
        <f t="shared" si="5"/>
        <v>43</v>
      </c>
      <c r="AC37" s="60">
        <f t="shared" si="6"/>
        <v>4.4408920985006262E-16</v>
      </c>
      <c r="AD37" s="61">
        <f t="shared" si="7"/>
        <v>4.2294210461910703E-16</v>
      </c>
      <c r="AE37" s="2"/>
      <c r="AF37" s="2"/>
      <c r="AG37" s="2"/>
      <c r="AH37" s="8">
        <f t="shared" si="8"/>
        <v>151.25</v>
      </c>
      <c r="AI37" s="5">
        <f t="shared" si="10"/>
        <v>294.36046511627922</v>
      </c>
      <c r="AJ37" s="8">
        <f t="shared" si="9"/>
        <v>294.36046511627904</v>
      </c>
    </row>
    <row r="38" spans="1:36" x14ac:dyDescent="0.2">
      <c r="A38" s="3">
        <v>23</v>
      </c>
      <c r="B38" s="19" t="s">
        <v>24</v>
      </c>
      <c r="C38" s="2">
        <v>12207</v>
      </c>
      <c r="D38" s="2" t="s">
        <v>119</v>
      </c>
      <c r="E38" s="2"/>
      <c r="F38" s="2"/>
      <c r="G38" s="2"/>
      <c r="I38" s="4">
        <v>281</v>
      </c>
      <c r="J38" s="23">
        <v>326510.16999999975</v>
      </c>
      <c r="K38" s="4">
        <v>13501</v>
      </c>
      <c r="L38" s="7"/>
      <c r="M38" s="18">
        <f t="shared" si="0"/>
        <v>1161.9579003558711</v>
      </c>
      <c r="N38" s="15">
        <f t="shared" si="1"/>
        <v>24.18414710021478</v>
      </c>
      <c r="O38" s="8">
        <f t="shared" si="2"/>
        <v>48.046263345195733</v>
      </c>
      <c r="Q38" s="10"/>
      <c r="S38" s="4">
        <v>16</v>
      </c>
      <c r="T38" s="23">
        <v>-1593.3000000000002</v>
      </c>
      <c r="U38" s="4">
        <v>66</v>
      </c>
      <c r="W38" s="18">
        <f t="shared" si="3"/>
        <v>99.581250000000011</v>
      </c>
      <c r="X38" s="15">
        <f t="shared" si="4"/>
        <v>24.140909090909094</v>
      </c>
      <c r="Y38" s="8">
        <f t="shared" si="5"/>
        <v>4.125</v>
      </c>
      <c r="AC38" s="15">
        <f t="shared" si="6"/>
        <v>4.3238009305685665E-2</v>
      </c>
      <c r="AD38" s="20">
        <f t="shared" si="7"/>
        <v>1.7878657918559248E-3</v>
      </c>
      <c r="AE38" s="2"/>
      <c r="AF38" s="2"/>
      <c r="AG38" s="2"/>
      <c r="AH38" s="8">
        <f t="shared" si="8"/>
        <v>17.5625</v>
      </c>
      <c r="AI38" s="5">
        <f t="shared" si="10"/>
        <v>204.92698801230134</v>
      </c>
      <c r="AJ38" s="8">
        <f t="shared" si="9"/>
        <v>204.56060606060606</v>
      </c>
    </row>
    <row r="39" spans="1:36" x14ac:dyDescent="0.2">
      <c r="A39" s="3">
        <v>24</v>
      </c>
      <c r="B39" s="19" t="s">
        <v>12</v>
      </c>
      <c r="C39" s="2">
        <v>11918</v>
      </c>
      <c r="D39" s="2" t="s">
        <v>119</v>
      </c>
      <c r="E39" s="2"/>
      <c r="F39" s="2"/>
      <c r="G39" s="2"/>
      <c r="I39" s="4">
        <v>372</v>
      </c>
      <c r="J39" s="23">
        <v>167854.20999999993</v>
      </c>
      <c r="K39" s="4">
        <v>8002</v>
      </c>
      <c r="L39" s="7"/>
      <c r="M39" s="18">
        <f t="shared" si="0"/>
        <v>451.22099462365571</v>
      </c>
      <c r="N39" s="15">
        <f t="shared" si="1"/>
        <v>20.976532116970748</v>
      </c>
      <c r="O39" s="8">
        <f t="shared" si="2"/>
        <v>21.510752688172044</v>
      </c>
      <c r="Q39" s="10"/>
      <c r="S39" s="4">
        <v>15</v>
      </c>
      <c r="T39" s="23">
        <v>-4033.3500000000004</v>
      </c>
      <c r="U39" s="4">
        <v>197</v>
      </c>
      <c r="W39" s="18">
        <f t="shared" si="3"/>
        <v>268.89000000000004</v>
      </c>
      <c r="X39" s="15">
        <f t="shared" si="4"/>
        <v>20.473857868020307</v>
      </c>
      <c r="Y39" s="8">
        <f t="shared" si="5"/>
        <v>13.133333333333333</v>
      </c>
      <c r="AC39" s="15">
        <f t="shared" si="6"/>
        <v>0.50267424895044144</v>
      </c>
      <c r="AD39" s="20">
        <f t="shared" si="7"/>
        <v>2.3963648812272472E-2</v>
      </c>
      <c r="AE39" s="2"/>
      <c r="AF39" s="2"/>
      <c r="AG39" s="2"/>
      <c r="AH39" s="8">
        <f t="shared" si="8"/>
        <v>24.8</v>
      </c>
      <c r="AI39" s="5">
        <f t="shared" si="10"/>
        <v>41.616574311676381</v>
      </c>
      <c r="AJ39" s="8">
        <f t="shared" si="9"/>
        <v>40.619289340101524</v>
      </c>
    </row>
    <row r="40" spans="1:36" x14ac:dyDescent="0.2">
      <c r="A40" s="3">
        <v>25</v>
      </c>
      <c r="B40" s="19" t="s">
        <v>46</v>
      </c>
      <c r="C40" s="2">
        <v>21512</v>
      </c>
      <c r="D40" s="2" t="s">
        <v>119</v>
      </c>
      <c r="E40" s="2"/>
      <c r="F40" s="2"/>
      <c r="G40" s="2"/>
      <c r="I40" s="4">
        <v>408</v>
      </c>
      <c r="J40" s="23">
        <v>424472.49000000017</v>
      </c>
      <c r="K40" s="4">
        <v>17305</v>
      </c>
      <c r="L40" s="7"/>
      <c r="M40" s="18">
        <f t="shared" si="0"/>
        <v>1040.3737500000004</v>
      </c>
      <c r="N40" s="15">
        <f t="shared" si="1"/>
        <v>24.528892805547539</v>
      </c>
      <c r="O40" s="8">
        <f t="shared" si="2"/>
        <v>42.41421568627451</v>
      </c>
      <c r="Q40" s="10"/>
      <c r="S40" s="4">
        <v>31</v>
      </c>
      <c r="T40" s="23">
        <v>-4783.6500000000005</v>
      </c>
      <c r="U40" s="4">
        <v>203</v>
      </c>
      <c r="W40" s="18">
        <f t="shared" si="3"/>
        <v>154.31129032258067</v>
      </c>
      <c r="X40" s="15">
        <f t="shared" si="4"/>
        <v>23.564778325123154</v>
      </c>
      <c r="Y40" s="8">
        <f t="shared" si="5"/>
        <v>6.5483870967741939</v>
      </c>
      <c r="AC40" s="15">
        <f t="shared" si="6"/>
        <v>0.96411448042438508</v>
      </c>
      <c r="AD40" s="20">
        <f t="shared" si="7"/>
        <v>3.9305258825475302E-2</v>
      </c>
      <c r="AE40" s="2"/>
      <c r="AF40" s="2"/>
      <c r="AG40" s="2"/>
      <c r="AH40" s="8">
        <f t="shared" si="8"/>
        <v>13.161290322580646</v>
      </c>
      <c r="AI40" s="5">
        <f t="shared" si="10"/>
        <v>88.734019002226361</v>
      </c>
      <c r="AJ40" s="8">
        <f t="shared" si="9"/>
        <v>85.246305418719217</v>
      </c>
    </row>
    <row r="41" spans="1:36" x14ac:dyDescent="0.2">
      <c r="A41" s="3">
        <v>26</v>
      </c>
      <c r="B41" s="19" t="s">
        <v>54</v>
      </c>
      <c r="C41" s="2">
        <v>41557</v>
      </c>
      <c r="D41" s="2" t="s">
        <v>119</v>
      </c>
      <c r="E41" s="2"/>
      <c r="F41" s="2"/>
      <c r="G41" s="2"/>
      <c r="I41" s="4">
        <v>101</v>
      </c>
      <c r="J41" s="23">
        <v>113549.01000000008</v>
      </c>
      <c r="K41" s="4">
        <v>4577</v>
      </c>
      <c r="L41" s="7"/>
      <c r="M41" s="18">
        <f t="shared" si="0"/>
        <v>1124.2476237623771</v>
      </c>
      <c r="N41" s="15">
        <f t="shared" si="1"/>
        <v>24.808610443521975</v>
      </c>
      <c r="O41" s="8">
        <f t="shared" si="2"/>
        <v>45.316831683168317</v>
      </c>
      <c r="Q41" s="10"/>
      <c r="S41" s="4">
        <v>13</v>
      </c>
      <c r="T41" s="23">
        <v>-2755.54</v>
      </c>
      <c r="U41" s="4">
        <v>116</v>
      </c>
      <c r="W41" s="18">
        <f t="shared" si="3"/>
        <v>211.96461538461537</v>
      </c>
      <c r="X41" s="15">
        <f t="shared" si="4"/>
        <v>23.754655172413791</v>
      </c>
      <c r="Y41" s="8">
        <f t="shared" si="5"/>
        <v>8.9230769230769234</v>
      </c>
      <c r="AC41" s="15">
        <f t="shared" si="6"/>
        <v>1.0539552711081832</v>
      </c>
      <c r="AD41" s="20">
        <f t="shared" si="7"/>
        <v>4.2483446362607223E-2</v>
      </c>
      <c r="AE41" s="2"/>
      <c r="AF41" s="2"/>
      <c r="AG41" s="2"/>
      <c r="AH41" s="8">
        <f t="shared" si="8"/>
        <v>7.7692307692307692</v>
      </c>
      <c r="AI41" s="5">
        <f t="shared" si="10"/>
        <v>41.207534639308477</v>
      </c>
      <c r="AJ41" s="8">
        <f t="shared" si="9"/>
        <v>39.456896551724135</v>
      </c>
    </row>
    <row r="42" spans="1:36" x14ac:dyDescent="0.2">
      <c r="A42" s="3">
        <v>27</v>
      </c>
      <c r="B42" s="19" t="s">
        <v>18</v>
      </c>
      <c r="C42" s="2">
        <v>12092</v>
      </c>
      <c r="D42" s="2" t="s">
        <v>119</v>
      </c>
      <c r="E42" s="2" t="s">
        <v>122</v>
      </c>
      <c r="F42" s="2" t="s">
        <v>113</v>
      </c>
      <c r="G42" s="2"/>
      <c r="I42" s="4">
        <v>393</v>
      </c>
      <c r="J42" s="23">
        <v>207850.50000000006</v>
      </c>
      <c r="K42" s="4">
        <v>9973</v>
      </c>
      <c r="L42" s="7"/>
      <c r="M42" s="18">
        <f t="shared" si="0"/>
        <v>528.88167938931315</v>
      </c>
      <c r="N42" s="15">
        <f t="shared" si="1"/>
        <v>20.841321568234239</v>
      </c>
      <c r="O42" s="8">
        <f t="shared" si="2"/>
        <v>25.376590330788805</v>
      </c>
      <c r="Q42" s="10"/>
      <c r="S42" s="4">
        <v>18</v>
      </c>
      <c r="T42" s="23">
        <v>-4846.5499999999993</v>
      </c>
      <c r="U42" s="4">
        <v>243</v>
      </c>
      <c r="W42" s="18">
        <f t="shared" si="3"/>
        <v>269.25277777777774</v>
      </c>
      <c r="X42" s="15">
        <f t="shared" si="4"/>
        <v>19.944650205761313</v>
      </c>
      <c r="Y42" s="8">
        <f t="shared" si="5"/>
        <v>13.5</v>
      </c>
      <c r="AC42" s="15">
        <f t="shared" si="6"/>
        <v>0.89667136247292589</v>
      </c>
      <c r="AD42" s="20">
        <f t="shared" si="7"/>
        <v>4.3023728583489032E-2</v>
      </c>
      <c r="AE42" s="2"/>
      <c r="AF42" s="2"/>
      <c r="AG42" s="2"/>
      <c r="AH42" s="8">
        <f t="shared" si="8"/>
        <v>21.833333333333332</v>
      </c>
      <c r="AI42" s="5">
        <f t="shared" si="10"/>
        <v>42.886279931085014</v>
      </c>
      <c r="AJ42" s="8">
        <f t="shared" si="9"/>
        <v>41.041152263374485</v>
      </c>
    </row>
    <row r="43" spans="1:36" x14ac:dyDescent="0.2">
      <c r="A43" s="3">
        <v>28</v>
      </c>
      <c r="B43" s="19" t="s">
        <v>3</v>
      </c>
      <c r="C43" s="2">
        <v>11890</v>
      </c>
      <c r="D43" s="2" t="s">
        <v>119</v>
      </c>
      <c r="E43" s="2" t="s">
        <v>122</v>
      </c>
      <c r="F43" s="2" t="s">
        <v>113</v>
      </c>
      <c r="G43" s="2"/>
      <c r="I43" s="4">
        <v>211</v>
      </c>
      <c r="J43" s="23">
        <v>102382.77000000006</v>
      </c>
      <c r="K43" s="4">
        <v>4987</v>
      </c>
      <c r="L43" s="7"/>
      <c r="M43" s="18">
        <f t="shared" si="0"/>
        <v>485.22639810426568</v>
      </c>
      <c r="N43" s="15">
        <f t="shared" si="1"/>
        <v>20.529931822739133</v>
      </c>
      <c r="O43" s="8">
        <f t="shared" si="2"/>
        <v>23.635071090047393</v>
      </c>
      <c r="Q43" s="10"/>
      <c r="S43" s="4">
        <v>2</v>
      </c>
      <c r="T43" s="23">
        <v>-56.400000000000006</v>
      </c>
      <c r="U43" s="4">
        <v>3</v>
      </c>
      <c r="W43" s="18">
        <f t="shared" si="3"/>
        <v>28.200000000000003</v>
      </c>
      <c r="X43" s="15">
        <f t="shared" si="4"/>
        <v>18.8</v>
      </c>
      <c r="Y43" s="8">
        <f t="shared" si="5"/>
        <v>1.5</v>
      </c>
      <c r="AC43" s="15">
        <f t="shared" si="6"/>
        <v>1.7299318227391325</v>
      </c>
      <c r="AD43" s="20">
        <f t="shared" si="7"/>
        <v>8.4263885417439371E-2</v>
      </c>
      <c r="AE43" s="2"/>
      <c r="AF43" s="2"/>
      <c r="AG43" s="2"/>
      <c r="AH43" s="8">
        <f t="shared" si="8"/>
        <v>105.5</v>
      </c>
      <c r="AI43" s="5">
        <f t="shared" si="10"/>
        <v>1815.2973404255329</v>
      </c>
      <c r="AJ43" s="8">
        <f t="shared" si="9"/>
        <v>1662.3333333333333</v>
      </c>
    </row>
    <row r="44" spans="1:36" x14ac:dyDescent="0.2">
      <c r="A44" s="3">
        <v>29</v>
      </c>
      <c r="B44" s="19" t="s">
        <v>37</v>
      </c>
      <c r="C44" s="2">
        <v>12572</v>
      </c>
      <c r="D44" s="2" t="s">
        <v>119</v>
      </c>
      <c r="E44" s="2" t="s">
        <v>122</v>
      </c>
      <c r="F44" s="2" t="s">
        <v>113</v>
      </c>
      <c r="G44" s="2"/>
      <c r="I44" s="4">
        <v>493</v>
      </c>
      <c r="J44" s="23">
        <v>216861.01000000015</v>
      </c>
      <c r="K44" s="4">
        <v>10453</v>
      </c>
      <c r="L44" s="7"/>
      <c r="M44" s="18">
        <f t="shared" si="0"/>
        <v>439.8803448275865</v>
      </c>
      <c r="N44" s="15">
        <f t="shared" si="1"/>
        <v>20.74629388692243</v>
      </c>
      <c r="O44" s="8">
        <f t="shared" si="2"/>
        <v>21.202839756592294</v>
      </c>
      <c r="Q44" s="10"/>
      <c r="S44" s="4">
        <v>3</v>
      </c>
      <c r="T44" s="23">
        <v>-693.35</v>
      </c>
      <c r="U44" s="4">
        <v>37</v>
      </c>
      <c r="W44" s="18">
        <f t="shared" si="3"/>
        <v>231.11666666666667</v>
      </c>
      <c r="X44" s="15">
        <f t="shared" si="4"/>
        <v>18.73918918918919</v>
      </c>
      <c r="Y44" s="8">
        <f t="shared" si="5"/>
        <v>12.333333333333334</v>
      </c>
      <c r="AC44" s="15">
        <f t="shared" si="6"/>
        <v>2.0071046977332401</v>
      </c>
      <c r="AD44" s="20">
        <f t="shared" si="7"/>
        <v>9.6745216696194222E-2</v>
      </c>
      <c r="AE44" s="2"/>
      <c r="AF44" s="2"/>
      <c r="AG44" s="2"/>
      <c r="AH44" s="8">
        <f t="shared" si="8"/>
        <v>164.33333333333334</v>
      </c>
      <c r="AI44" s="5">
        <f t="shared" si="10"/>
        <v>312.77278430806973</v>
      </c>
      <c r="AJ44" s="8">
        <f t="shared" si="9"/>
        <v>282.51351351351349</v>
      </c>
    </row>
    <row r="45" spans="1:36" x14ac:dyDescent="0.2">
      <c r="A45" s="3">
        <v>30</v>
      </c>
      <c r="B45" s="19" t="s">
        <v>26</v>
      </c>
      <c r="C45" s="2">
        <v>12268</v>
      </c>
      <c r="D45" s="2" t="s">
        <v>119</v>
      </c>
      <c r="E45" s="2"/>
      <c r="F45" s="2"/>
      <c r="G45" s="2"/>
      <c r="I45" s="4">
        <v>346</v>
      </c>
      <c r="J45" s="23">
        <v>399574.57999999996</v>
      </c>
      <c r="K45" s="4">
        <v>17403</v>
      </c>
      <c r="L45" s="7"/>
      <c r="M45" s="18">
        <f t="shared" si="0"/>
        <v>1154.8398265895953</v>
      </c>
      <c r="N45" s="15">
        <f t="shared" si="1"/>
        <v>22.9600976843073</v>
      </c>
      <c r="O45" s="8">
        <f t="shared" si="2"/>
        <v>50.297687861271676</v>
      </c>
      <c r="Q45" s="10"/>
      <c r="S45" s="4">
        <v>23</v>
      </c>
      <c r="T45" s="23">
        <v>-2055.0999999999995</v>
      </c>
      <c r="U45" s="4">
        <v>100</v>
      </c>
      <c r="W45" s="18">
        <f t="shared" si="3"/>
        <v>89.352173913043458</v>
      </c>
      <c r="X45" s="15">
        <f t="shared" si="4"/>
        <v>20.550999999999995</v>
      </c>
      <c r="Y45" s="8">
        <f t="shared" si="5"/>
        <v>4.3478260869565215</v>
      </c>
      <c r="AC45" s="15">
        <f t="shared" si="6"/>
        <v>2.4090976843073051</v>
      </c>
      <c r="AD45" s="20">
        <f t="shared" si="7"/>
        <v>0.10492541092078489</v>
      </c>
      <c r="AE45" s="2"/>
      <c r="AF45" s="2"/>
      <c r="AG45" s="2"/>
      <c r="AH45" s="8">
        <f t="shared" si="8"/>
        <v>15.043478260869565</v>
      </c>
      <c r="AI45" s="5">
        <f t="shared" si="10"/>
        <v>194.43072356576326</v>
      </c>
      <c r="AJ45" s="8">
        <f t="shared" si="9"/>
        <v>174.03</v>
      </c>
    </row>
    <row r="46" spans="1:36" x14ac:dyDescent="0.2">
      <c r="A46" s="3">
        <v>31</v>
      </c>
      <c r="B46" s="19" t="s">
        <v>35</v>
      </c>
      <c r="C46" s="2">
        <v>12356</v>
      </c>
      <c r="D46" s="2" t="s">
        <v>119</v>
      </c>
      <c r="E46" s="2" t="s">
        <v>122</v>
      </c>
      <c r="F46" s="2" t="s">
        <v>113</v>
      </c>
      <c r="G46" s="2"/>
      <c r="I46" s="4">
        <v>246</v>
      </c>
      <c r="J46" s="23">
        <v>155844.89999999994</v>
      </c>
      <c r="K46" s="4">
        <v>7119</v>
      </c>
      <c r="L46" s="7"/>
      <c r="M46" s="18">
        <f t="shared" si="0"/>
        <v>633.51585365853634</v>
      </c>
      <c r="N46" s="15">
        <f t="shared" si="1"/>
        <v>21.891403286978498</v>
      </c>
      <c r="O46" s="8">
        <f t="shared" si="2"/>
        <v>28.939024390243901</v>
      </c>
      <c r="Q46" s="10"/>
      <c r="S46" s="4">
        <v>6</v>
      </c>
      <c r="T46" s="23">
        <v>-644.54999999999995</v>
      </c>
      <c r="U46" s="4">
        <v>33</v>
      </c>
      <c r="W46" s="18">
        <f t="shared" si="3"/>
        <v>107.425</v>
      </c>
      <c r="X46" s="15">
        <f t="shared" si="4"/>
        <v>19.531818181818181</v>
      </c>
      <c r="Y46" s="8">
        <f t="shared" si="5"/>
        <v>5.5</v>
      </c>
      <c r="AC46" s="15">
        <f t="shared" si="6"/>
        <v>2.3595851051603169</v>
      </c>
      <c r="AD46" s="20">
        <f t="shared" si="7"/>
        <v>0.10778592282221815</v>
      </c>
      <c r="AE46" s="2"/>
      <c r="AF46" s="2"/>
      <c r="AG46" s="2"/>
      <c r="AH46" s="8">
        <f t="shared" si="8"/>
        <v>41</v>
      </c>
      <c r="AI46" s="5">
        <f t="shared" si="10"/>
        <v>241.78868978356985</v>
      </c>
      <c r="AJ46" s="8">
        <f t="shared" si="9"/>
        <v>215.72727272727272</v>
      </c>
    </row>
    <row r="47" spans="1:36" x14ac:dyDescent="0.2">
      <c r="A47" s="3">
        <v>32</v>
      </c>
      <c r="B47" s="19" t="s">
        <v>30</v>
      </c>
      <c r="C47" s="2">
        <v>12343</v>
      </c>
      <c r="D47" s="2" t="s">
        <v>119</v>
      </c>
      <c r="E47" s="2"/>
      <c r="F47" s="2"/>
      <c r="G47" s="2"/>
      <c r="I47" s="4">
        <v>551</v>
      </c>
      <c r="J47" s="23">
        <v>178295.41999999969</v>
      </c>
      <c r="K47" s="4">
        <v>1632</v>
      </c>
      <c r="L47" s="7"/>
      <c r="M47" s="18">
        <f t="shared" si="0"/>
        <v>323.58515426497223</v>
      </c>
      <c r="N47" s="15">
        <f t="shared" si="1"/>
        <v>109.24964460784295</v>
      </c>
      <c r="O47" s="8">
        <f t="shared" si="2"/>
        <v>2.9618874773139745</v>
      </c>
      <c r="Q47" s="10"/>
      <c r="S47" s="4">
        <v>20</v>
      </c>
      <c r="T47" s="23">
        <v>-3669.75</v>
      </c>
      <c r="U47" s="4">
        <v>39</v>
      </c>
      <c r="W47" s="18">
        <f t="shared" si="3"/>
        <v>183.48750000000001</v>
      </c>
      <c r="X47" s="15">
        <f t="shared" si="4"/>
        <v>94.09615384615384</v>
      </c>
      <c r="Y47" s="8">
        <f t="shared" si="5"/>
        <v>1.95</v>
      </c>
      <c r="AC47" s="15">
        <f t="shared" si="6"/>
        <v>15.153490761689113</v>
      </c>
      <c r="AD47" s="20">
        <f t="shared" si="7"/>
        <v>0.13870517214113898</v>
      </c>
      <c r="AE47" s="2"/>
      <c r="AF47" s="2"/>
      <c r="AG47" s="2"/>
      <c r="AH47" s="8">
        <f t="shared" si="8"/>
        <v>27.55</v>
      </c>
      <c r="AI47" s="5">
        <f t="shared" si="10"/>
        <v>48.585167926970421</v>
      </c>
      <c r="AJ47" s="8">
        <f t="shared" si="9"/>
        <v>41.846153846153847</v>
      </c>
    </row>
    <row r="48" spans="1:36" x14ac:dyDescent="0.2">
      <c r="A48" s="3">
        <v>33</v>
      </c>
      <c r="B48" s="19" t="s">
        <v>19</v>
      </c>
      <c r="C48" s="2">
        <v>12108</v>
      </c>
      <c r="D48" s="2" t="s">
        <v>119</v>
      </c>
      <c r="E48" s="2" t="s">
        <v>122</v>
      </c>
      <c r="F48" s="2" t="s">
        <v>113</v>
      </c>
      <c r="G48" s="2"/>
      <c r="I48" s="4">
        <v>375</v>
      </c>
      <c r="J48" s="23">
        <v>164351.90000000017</v>
      </c>
      <c r="K48" s="4">
        <v>8411</v>
      </c>
      <c r="L48" s="7"/>
      <c r="M48" s="18">
        <f t="shared" ref="M48:M79" si="11">SUM(J48/I48)</f>
        <v>438.27173333333377</v>
      </c>
      <c r="N48" s="15">
        <f t="shared" ref="N48:N79" si="12">SUM(J48/K48)</f>
        <v>19.540114136250168</v>
      </c>
      <c r="O48" s="8">
        <f t="shared" ref="O48:O79" si="13">SUM(K48/I48)</f>
        <v>22.429333333333332</v>
      </c>
      <c r="Q48" s="10"/>
      <c r="S48" s="4">
        <v>7</v>
      </c>
      <c r="T48" s="23">
        <v>-1664.2</v>
      </c>
      <c r="U48" s="4">
        <v>99</v>
      </c>
      <c r="W48" s="18">
        <f t="shared" ref="W48:W79" si="14">SUM(T48/S48)*-1</f>
        <v>237.74285714285716</v>
      </c>
      <c r="X48" s="15">
        <f t="shared" ref="X48:X78" si="15">SUM(T48/U48)*-1</f>
        <v>16.810101010101011</v>
      </c>
      <c r="Y48" s="8">
        <f t="shared" ref="Y48:Y78" si="16">SUM(U48/S48)</f>
        <v>14.142857142857142</v>
      </c>
      <c r="AC48" s="15">
        <f t="shared" ref="AC48:AC78" si="17">SUM(N48-X48)</f>
        <v>2.7300131261491565</v>
      </c>
      <c r="AD48" s="20">
        <f t="shared" ref="AD48:AD79" si="18">SUM(AC48/N48)</f>
        <v>0.13971326406351575</v>
      </c>
      <c r="AE48" s="2"/>
      <c r="AF48" s="2"/>
      <c r="AG48" s="2"/>
      <c r="AH48" s="8">
        <f t="shared" ref="AH48:AH79" si="19">SUM(I48/S48)</f>
        <v>53.571428571428569</v>
      </c>
      <c r="AI48" s="5">
        <f t="shared" si="10"/>
        <v>98.757300805191775</v>
      </c>
      <c r="AJ48" s="8">
        <f t="shared" ref="AJ48:AJ78" si="20">SUM(K48/U48)</f>
        <v>84.959595959595958</v>
      </c>
    </row>
    <row r="49" spans="1:36" x14ac:dyDescent="0.2">
      <c r="A49" s="3">
        <v>34</v>
      </c>
      <c r="B49" s="19" t="s">
        <v>28</v>
      </c>
      <c r="C49" s="2">
        <v>12317</v>
      </c>
      <c r="D49" s="2" t="s">
        <v>124</v>
      </c>
      <c r="E49" s="2" t="s">
        <v>118</v>
      </c>
      <c r="F49" s="2"/>
      <c r="G49" s="2"/>
      <c r="I49" s="4">
        <v>12711</v>
      </c>
      <c r="J49" s="23">
        <v>4475701.7899999944</v>
      </c>
      <c r="K49" s="4">
        <v>2100886</v>
      </c>
      <c r="L49" s="7"/>
      <c r="M49" s="18">
        <f t="shared" si="11"/>
        <v>352.11248446227631</v>
      </c>
      <c r="N49" s="15">
        <f t="shared" si="12"/>
        <v>2.1303877459319516</v>
      </c>
      <c r="O49" s="8">
        <f t="shared" si="13"/>
        <v>165.28093777043506</v>
      </c>
      <c r="Q49" s="10"/>
      <c r="S49" s="4">
        <v>40</v>
      </c>
      <c r="T49" s="23">
        <v>-1605.15</v>
      </c>
      <c r="U49" s="4">
        <v>905</v>
      </c>
      <c r="W49" s="18">
        <f t="shared" si="14"/>
        <v>40.128750000000004</v>
      </c>
      <c r="X49" s="15">
        <f t="shared" si="15"/>
        <v>1.7736464088397792</v>
      </c>
      <c r="Y49" s="8">
        <f t="shared" si="16"/>
        <v>22.625</v>
      </c>
      <c r="AC49" s="15">
        <f t="shared" si="17"/>
        <v>0.35674133709217237</v>
      </c>
      <c r="AD49" s="20">
        <f t="shared" si="18"/>
        <v>0.16745371248655658</v>
      </c>
      <c r="AE49" s="2"/>
      <c r="AF49" s="2"/>
      <c r="AG49" s="2"/>
      <c r="AH49" s="8">
        <f t="shared" si="19"/>
        <v>317.77499999999998</v>
      </c>
      <c r="AI49" s="5">
        <f t="shared" si="10"/>
        <v>2788.3386537083725</v>
      </c>
      <c r="AJ49" s="8">
        <f t="shared" si="20"/>
        <v>2321.4209944751383</v>
      </c>
    </row>
    <row r="50" spans="1:36" x14ac:dyDescent="0.2">
      <c r="A50" s="3">
        <v>35</v>
      </c>
      <c r="B50" s="19" t="s">
        <v>20</v>
      </c>
      <c r="C50" s="2">
        <v>12109</v>
      </c>
      <c r="D50" s="2" t="s">
        <v>119</v>
      </c>
      <c r="E50" s="2" t="s">
        <v>122</v>
      </c>
      <c r="F50" s="2" t="s">
        <v>113</v>
      </c>
      <c r="G50" s="2"/>
      <c r="I50" s="4">
        <v>202</v>
      </c>
      <c r="J50" s="23">
        <v>81699.799999999959</v>
      </c>
      <c r="K50" s="4">
        <v>3830</v>
      </c>
      <c r="L50" s="7"/>
      <c r="M50" s="18">
        <f t="shared" si="11"/>
        <v>404.45445544554434</v>
      </c>
      <c r="N50" s="15">
        <f t="shared" si="12"/>
        <v>21.331540469973881</v>
      </c>
      <c r="O50" s="8">
        <f t="shared" si="13"/>
        <v>18.96039603960396</v>
      </c>
      <c r="Q50" s="10"/>
      <c r="S50" s="4">
        <v>2</v>
      </c>
      <c r="T50" s="23">
        <v>-105.8</v>
      </c>
      <c r="U50" s="4">
        <v>6</v>
      </c>
      <c r="W50" s="18">
        <f t="shared" si="14"/>
        <v>52.9</v>
      </c>
      <c r="X50" s="15">
        <f t="shared" si="15"/>
        <v>17.633333333333333</v>
      </c>
      <c r="Y50" s="8">
        <f t="shared" si="16"/>
        <v>3</v>
      </c>
      <c r="AC50" s="15">
        <f t="shared" si="17"/>
        <v>3.6982071366405478</v>
      </c>
      <c r="AD50" s="20">
        <f t="shared" si="18"/>
        <v>0.17336802946070007</v>
      </c>
      <c r="AE50" s="2"/>
      <c r="AF50" s="2"/>
      <c r="AG50" s="2"/>
      <c r="AH50" s="8">
        <f t="shared" si="19"/>
        <v>101</v>
      </c>
      <c r="AI50" s="5">
        <f t="shared" si="10"/>
        <v>772.20982986767444</v>
      </c>
      <c r="AJ50" s="8">
        <f t="shared" si="20"/>
        <v>638.33333333333337</v>
      </c>
    </row>
    <row r="51" spans="1:36" x14ac:dyDescent="0.2">
      <c r="A51" s="3">
        <v>36</v>
      </c>
      <c r="B51" s="19" t="s">
        <v>31</v>
      </c>
      <c r="C51" s="2">
        <v>12348</v>
      </c>
      <c r="D51" s="2" t="s">
        <v>119</v>
      </c>
      <c r="E51" s="2" t="s">
        <v>120</v>
      </c>
      <c r="F51" s="2"/>
      <c r="G51" s="2"/>
      <c r="I51" s="4">
        <v>4411</v>
      </c>
      <c r="J51" s="23">
        <v>481806.01</v>
      </c>
      <c r="K51" s="4">
        <v>35108</v>
      </c>
      <c r="L51" s="7"/>
      <c r="M51" s="18">
        <f t="shared" si="11"/>
        <v>109.228295171163</v>
      </c>
      <c r="N51" s="15">
        <f t="shared" si="12"/>
        <v>13.723539079412101</v>
      </c>
      <c r="O51" s="8">
        <f t="shared" si="13"/>
        <v>7.9591929267739738</v>
      </c>
      <c r="Q51" s="10"/>
      <c r="S51" s="4">
        <v>22</v>
      </c>
      <c r="T51" s="23">
        <v>-935.85</v>
      </c>
      <c r="U51" s="4">
        <v>83</v>
      </c>
      <c r="W51" s="18">
        <f t="shared" si="14"/>
        <v>42.538636363636364</v>
      </c>
      <c r="X51" s="15">
        <f t="shared" si="15"/>
        <v>11.275301204819277</v>
      </c>
      <c r="Y51" s="8">
        <f t="shared" si="16"/>
        <v>3.7727272727272729</v>
      </c>
      <c r="AC51" s="15">
        <f t="shared" si="17"/>
        <v>2.4482378745928237</v>
      </c>
      <c r="AD51" s="20">
        <f t="shared" si="18"/>
        <v>0.17839697620460329</v>
      </c>
      <c r="AE51" s="2"/>
      <c r="AF51" s="2"/>
      <c r="AG51" s="2"/>
      <c r="AH51" s="8">
        <f t="shared" si="19"/>
        <v>200.5</v>
      </c>
      <c r="AI51" s="5">
        <f t="shared" si="10"/>
        <v>514.83251589464123</v>
      </c>
      <c r="AJ51" s="8">
        <f t="shared" si="20"/>
        <v>422.98795180722891</v>
      </c>
    </row>
    <row r="52" spans="1:36" x14ac:dyDescent="0.2">
      <c r="A52" s="3">
        <v>37</v>
      </c>
      <c r="B52" s="19" t="s">
        <v>45</v>
      </c>
      <c r="C52" s="2">
        <v>19074</v>
      </c>
      <c r="D52" s="2" t="s">
        <v>133</v>
      </c>
      <c r="E52" s="2"/>
      <c r="F52" s="2"/>
      <c r="G52" s="2"/>
      <c r="I52" s="4">
        <v>146</v>
      </c>
      <c r="J52" s="23">
        <v>124975.69999999997</v>
      </c>
      <c r="K52" s="4">
        <v>5602</v>
      </c>
      <c r="L52" s="7"/>
      <c r="M52" s="18">
        <f t="shared" si="11"/>
        <v>855.99794520547925</v>
      </c>
      <c r="N52" s="15">
        <f t="shared" si="12"/>
        <v>22.309121742234911</v>
      </c>
      <c r="O52" s="8">
        <f t="shared" si="13"/>
        <v>38.369863013698627</v>
      </c>
      <c r="Q52" s="10"/>
      <c r="S52" s="4">
        <v>6</v>
      </c>
      <c r="T52" s="23">
        <v>-341.05</v>
      </c>
      <c r="U52" s="4">
        <v>19</v>
      </c>
      <c r="W52" s="18">
        <f t="shared" si="14"/>
        <v>56.841666666666669</v>
      </c>
      <c r="X52" s="15">
        <f t="shared" si="15"/>
        <v>17.95</v>
      </c>
      <c r="Y52" s="8">
        <f t="shared" si="16"/>
        <v>3.1666666666666665</v>
      </c>
      <c r="AC52" s="15">
        <f t="shared" si="17"/>
        <v>4.3591217422349118</v>
      </c>
      <c r="AD52" s="20">
        <f t="shared" si="18"/>
        <v>0.19539638505725498</v>
      </c>
      <c r="AE52" s="2"/>
      <c r="AF52" s="2"/>
      <c r="AG52" s="2"/>
      <c r="AH52" s="8">
        <f t="shared" si="19"/>
        <v>24.333333333333332</v>
      </c>
      <c r="AI52" s="5">
        <f t="shared" si="10"/>
        <v>366.44392317841948</v>
      </c>
      <c r="AJ52" s="8">
        <f t="shared" si="20"/>
        <v>294.84210526315792</v>
      </c>
    </row>
    <row r="53" spans="1:36" x14ac:dyDescent="0.2">
      <c r="A53" s="3">
        <v>38</v>
      </c>
      <c r="B53" s="19" t="s">
        <v>6</v>
      </c>
      <c r="C53" s="2">
        <v>11900</v>
      </c>
      <c r="D53" s="2" t="s">
        <v>133</v>
      </c>
      <c r="E53" s="2"/>
      <c r="F53" s="2"/>
      <c r="G53" s="2"/>
      <c r="I53" s="4">
        <v>207</v>
      </c>
      <c r="J53" s="23">
        <v>67124.090000000011</v>
      </c>
      <c r="K53" s="4">
        <v>2881</v>
      </c>
      <c r="L53" s="7"/>
      <c r="M53" s="18">
        <f t="shared" si="11"/>
        <v>324.27096618357496</v>
      </c>
      <c r="N53" s="15">
        <f t="shared" si="12"/>
        <v>23.29888580354044</v>
      </c>
      <c r="O53" s="8">
        <f t="shared" si="13"/>
        <v>13.917874396135266</v>
      </c>
      <c r="Q53" s="10"/>
      <c r="S53" s="4">
        <v>9</v>
      </c>
      <c r="T53" s="23">
        <v>-405.90000000000003</v>
      </c>
      <c r="U53" s="4">
        <v>22</v>
      </c>
      <c r="W53" s="18">
        <f t="shared" si="14"/>
        <v>45.1</v>
      </c>
      <c r="X53" s="15">
        <f t="shared" si="15"/>
        <v>18.450000000000003</v>
      </c>
      <c r="Y53" s="8">
        <f t="shared" si="16"/>
        <v>2.4444444444444446</v>
      </c>
      <c r="AC53" s="15">
        <f t="shared" si="17"/>
        <v>4.848885803540437</v>
      </c>
      <c r="AD53" s="20">
        <f t="shared" si="18"/>
        <v>0.2081166388996856</v>
      </c>
      <c r="AE53" s="2"/>
      <c r="AF53" s="2"/>
      <c r="AG53" s="2"/>
      <c r="AH53" s="8">
        <f t="shared" si="19"/>
        <v>23</v>
      </c>
      <c r="AI53" s="5">
        <f t="shared" si="10"/>
        <v>165.37100271002711</v>
      </c>
      <c r="AJ53" s="8">
        <f t="shared" si="20"/>
        <v>130.95454545454547</v>
      </c>
    </row>
    <row r="54" spans="1:36" x14ac:dyDescent="0.2">
      <c r="A54" s="3">
        <v>39</v>
      </c>
      <c r="B54" s="19" t="s">
        <v>4</v>
      </c>
      <c r="C54" s="2">
        <v>11893</v>
      </c>
      <c r="D54" s="2" t="s">
        <v>119</v>
      </c>
      <c r="E54" s="2"/>
      <c r="F54" s="2"/>
      <c r="G54" s="2"/>
      <c r="I54" s="4">
        <v>674</v>
      </c>
      <c r="J54" s="23">
        <v>383895.56999999972</v>
      </c>
      <c r="K54" s="4">
        <v>15469</v>
      </c>
      <c r="L54" s="7"/>
      <c r="M54" s="18">
        <f t="shared" si="11"/>
        <v>569.5779970326405</v>
      </c>
      <c r="N54" s="15">
        <f t="shared" si="12"/>
        <v>24.817090309651544</v>
      </c>
      <c r="O54" s="8">
        <f t="shared" si="13"/>
        <v>22.951038575667656</v>
      </c>
      <c r="Q54" s="10"/>
      <c r="S54" s="4">
        <v>22</v>
      </c>
      <c r="T54" s="23">
        <v>-1621.5100000000002</v>
      </c>
      <c r="U54" s="4">
        <v>83</v>
      </c>
      <c r="W54" s="18">
        <f t="shared" si="14"/>
        <v>73.705000000000013</v>
      </c>
      <c r="X54" s="15">
        <f t="shared" si="15"/>
        <v>19.536265060240968</v>
      </c>
      <c r="Y54" s="8">
        <f t="shared" si="16"/>
        <v>3.7727272727272729</v>
      </c>
      <c r="AC54" s="15">
        <f t="shared" si="17"/>
        <v>5.2808252494105759</v>
      </c>
      <c r="AD54" s="20">
        <f t="shared" si="18"/>
        <v>0.21278986309514397</v>
      </c>
      <c r="AE54" s="2"/>
      <c r="AF54" s="2"/>
      <c r="AG54" s="2"/>
      <c r="AH54" s="8">
        <f t="shared" si="19"/>
        <v>30.636363636363637</v>
      </c>
      <c r="AI54" s="5">
        <f t="shared" si="10"/>
        <v>236.75189792230677</v>
      </c>
      <c r="AJ54" s="8">
        <f t="shared" si="20"/>
        <v>186.37349397590361</v>
      </c>
    </row>
    <row r="55" spans="1:36" x14ac:dyDescent="0.2">
      <c r="A55" s="3">
        <v>40</v>
      </c>
      <c r="B55" s="19" t="s">
        <v>64</v>
      </c>
      <c r="C55" s="2">
        <v>47542</v>
      </c>
      <c r="D55" s="2" t="s">
        <v>124</v>
      </c>
      <c r="E55" s="2"/>
      <c r="F55" s="2"/>
      <c r="G55" s="2"/>
      <c r="I55" s="4">
        <v>71</v>
      </c>
      <c r="J55" s="23">
        <v>41991.300000000017</v>
      </c>
      <c r="K55" s="4">
        <v>2404</v>
      </c>
      <c r="L55" s="7"/>
      <c r="M55" s="18">
        <f t="shared" si="11"/>
        <v>591.42676056338053</v>
      </c>
      <c r="N55" s="15">
        <f t="shared" si="12"/>
        <v>17.467262895174716</v>
      </c>
      <c r="O55" s="8">
        <f t="shared" si="13"/>
        <v>33.859154929577464</v>
      </c>
      <c r="Q55" s="10"/>
      <c r="S55" s="4">
        <v>7</v>
      </c>
      <c r="T55" s="23">
        <v>-2119.6800000000003</v>
      </c>
      <c r="U55" s="4">
        <v>158</v>
      </c>
      <c r="W55" s="18">
        <f t="shared" si="14"/>
        <v>302.81142857142862</v>
      </c>
      <c r="X55" s="15">
        <f t="shared" si="15"/>
        <v>13.415696202531647</v>
      </c>
      <c r="Y55" s="8">
        <f t="shared" si="16"/>
        <v>22.571428571428573</v>
      </c>
      <c r="AC55" s="15">
        <f t="shared" si="17"/>
        <v>4.0515666926430693</v>
      </c>
      <c r="AD55" s="20">
        <f t="shared" si="18"/>
        <v>0.23195200741853514</v>
      </c>
      <c r="AE55" s="2"/>
      <c r="AF55" s="2"/>
      <c r="AG55" s="2"/>
      <c r="AH55" s="8">
        <f t="shared" si="19"/>
        <v>10.142857142857142</v>
      </c>
      <c r="AI55" s="5">
        <f t="shared" si="10"/>
        <v>19.810207201086961</v>
      </c>
      <c r="AJ55" s="8">
        <f t="shared" si="20"/>
        <v>15.215189873417721</v>
      </c>
    </row>
    <row r="56" spans="1:36" x14ac:dyDescent="0.2">
      <c r="A56" s="3">
        <v>41</v>
      </c>
      <c r="B56" s="19" t="s">
        <v>33</v>
      </c>
      <c r="C56" s="2">
        <v>12354</v>
      </c>
      <c r="D56" s="2" t="s">
        <v>119</v>
      </c>
      <c r="E56" s="2"/>
      <c r="F56" s="2"/>
      <c r="G56" s="2"/>
      <c r="I56" s="4">
        <v>124</v>
      </c>
      <c r="J56" s="23">
        <v>34661.000000000015</v>
      </c>
      <c r="K56" s="4">
        <v>1388</v>
      </c>
      <c r="L56" s="7"/>
      <c r="M56" s="18">
        <f t="shared" si="11"/>
        <v>279.52419354838719</v>
      </c>
      <c r="N56" s="15">
        <f t="shared" si="12"/>
        <v>24.971902017291075</v>
      </c>
      <c r="O56" s="8">
        <f t="shared" si="13"/>
        <v>11.193548387096774</v>
      </c>
      <c r="Q56" s="10"/>
      <c r="S56" s="4">
        <v>3</v>
      </c>
      <c r="T56" s="23">
        <v>-285.85000000000002</v>
      </c>
      <c r="U56" s="4">
        <v>17</v>
      </c>
      <c r="W56" s="18">
        <f t="shared" si="14"/>
        <v>95.283333333333346</v>
      </c>
      <c r="X56" s="15">
        <f t="shared" si="15"/>
        <v>16.814705882352943</v>
      </c>
      <c r="Y56" s="8">
        <f t="shared" si="16"/>
        <v>5.666666666666667</v>
      </c>
      <c r="AC56" s="15">
        <f t="shared" si="17"/>
        <v>8.1571961349381326</v>
      </c>
      <c r="AD56" s="20">
        <f t="shared" si="18"/>
        <v>0.32665497923585946</v>
      </c>
      <c r="AE56" s="2"/>
      <c r="AF56" s="2"/>
      <c r="AG56" s="2"/>
      <c r="AH56" s="8">
        <f t="shared" si="19"/>
        <v>41.333333333333336</v>
      </c>
      <c r="AI56" s="5">
        <f t="shared" si="10"/>
        <v>121.25590344586325</v>
      </c>
      <c r="AJ56" s="8">
        <f t="shared" si="20"/>
        <v>81.647058823529406</v>
      </c>
    </row>
    <row r="57" spans="1:36" x14ac:dyDescent="0.2">
      <c r="A57" s="3">
        <v>42</v>
      </c>
      <c r="B57" s="19" t="s">
        <v>51</v>
      </c>
      <c r="C57" s="2">
        <v>40557</v>
      </c>
      <c r="D57" s="2" t="s">
        <v>119</v>
      </c>
      <c r="E57" s="2"/>
      <c r="F57" s="2"/>
      <c r="G57" s="2"/>
      <c r="I57" s="4">
        <v>193</v>
      </c>
      <c r="J57" s="23">
        <v>125141.9</v>
      </c>
      <c r="K57" s="4">
        <v>5089</v>
      </c>
      <c r="L57" s="7"/>
      <c r="M57" s="18">
        <f t="shared" si="11"/>
        <v>648.40362694300518</v>
      </c>
      <c r="N57" s="15">
        <f t="shared" si="12"/>
        <v>24.590666142660641</v>
      </c>
      <c r="O57" s="8">
        <f t="shared" si="13"/>
        <v>26.367875647668395</v>
      </c>
      <c r="Q57" s="10"/>
      <c r="S57" s="4">
        <v>8</v>
      </c>
      <c r="T57" s="23">
        <v>-571.75</v>
      </c>
      <c r="U57" s="4">
        <v>35</v>
      </c>
      <c r="W57" s="18">
        <f t="shared" si="14"/>
        <v>71.46875</v>
      </c>
      <c r="X57" s="15">
        <f t="shared" si="15"/>
        <v>16.335714285714285</v>
      </c>
      <c r="Y57" s="8">
        <f t="shared" si="16"/>
        <v>4.375</v>
      </c>
      <c r="AC57" s="15">
        <f t="shared" si="17"/>
        <v>8.2549518569463558</v>
      </c>
      <c r="AD57" s="20">
        <f t="shared" si="18"/>
        <v>0.33569451958137125</v>
      </c>
      <c r="AE57" s="2"/>
      <c r="AF57" s="2"/>
      <c r="AG57" s="2"/>
      <c r="AH57" s="8">
        <f t="shared" si="19"/>
        <v>24.125</v>
      </c>
      <c r="AI57" s="5">
        <f t="shared" si="10"/>
        <v>218.87520769567118</v>
      </c>
      <c r="AJ57" s="8">
        <f t="shared" si="20"/>
        <v>145.4</v>
      </c>
    </row>
    <row r="58" spans="1:36" x14ac:dyDescent="0.2">
      <c r="A58" s="3">
        <v>43</v>
      </c>
      <c r="B58" s="19" t="s">
        <v>23</v>
      </c>
      <c r="C58" s="2">
        <v>12206</v>
      </c>
      <c r="D58" s="2" t="s">
        <v>119</v>
      </c>
      <c r="E58" s="2" t="s">
        <v>122</v>
      </c>
      <c r="F58" s="2" t="s">
        <v>113</v>
      </c>
      <c r="G58" s="2"/>
      <c r="I58" s="4">
        <v>3135</v>
      </c>
      <c r="J58" s="23">
        <v>917495.02999999456</v>
      </c>
      <c r="K58" s="4">
        <v>25811</v>
      </c>
      <c r="L58" s="7"/>
      <c r="M58" s="18">
        <f t="shared" si="11"/>
        <v>292.66189154704773</v>
      </c>
      <c r="N58" s="15">
        <f t="shared" si="12"/>
        <v>35.546667312385978</v>
      </c>
      <c r="O58" s="8">
        <f t="shared" si="13"/>
        <v>8.2331738437001594</v>
      </c>
      <c r="Q58" s="10"/>
      <c r="S58" s="4">
        <v>5</v>
      </c>
      <c r="T58" s="23">
        <v>-183.38</v>
      </c>
      <c r="U58" s="4">
        <v>8</v>
      </c>
      <c r="W58" s="18">
        <f t="shared" si="14"/>
        <v>36.676000000000002</v>
      </c>
      <c r="X58" s="15">
        <f t="shared" si="15"/>
        <v>22.922499999999999</v>
      </c>
      <c r="Y58" s="8">
        <f t="shared" si="16"/>
        <v>1.6</v>
      </c>
      <c r="AC58" s="15">
        <f t="shared" si="17"/>
        <v>12.624167312385978</v>
      </c>
      <c r="AD58" s="20">
        <f t="shared" si="18"/>
        <v>0.35514348508241667</v>
      </c>
      <c r="AE58" s="2"/>
      <c r="AF58" s="2"/>
      <c r="AG58" s="2"/>
      <c r="AH58" s="8">
        <f t="shared" si="19"/>
        <v>627</v>
      </c>
      <c r="AI58" s="5">
        <f t="shared" si="10"/>
        <v>5003.2447922346746</v>
      </c>
      <c r="AJ58" s="8">
        <f t="shared" si="20"/>
        <v>3226.375</v>
      </c>
    </row>
    <row r="59" spans="1:36" x14ac:dyDescent="0.2">
      <c r="A59" s="3">
        <v>44</v>
      </c>
      <c r="B59" s="19" t="s">
        <v>10</v>
      </c>
      <c r="C59" s="2">
        <v>11913</v>
      </c>
      <c r="D59" s="2" t="s">
        <v>119</v>
      </c>
      <c r="E59" s="2"/>
      <c r="F59" s="2"/>
      <c r="G59" s="2"/>
      <c r="I59" s="4">
        <v>745</v>
      </c>
      <c r="J59" s="23">
        <v>348703.55</v>
      </c>
      <c r="K59" s="4">
        <v>17023</v>
      </c>
      <c r="L59" s="7"/>
      <c r="M59" s="18">
        <f t="shared" si="11"/>
        <v>468.05845637583889</v>
      </c>
      <c r="N59" s="15">
        <f t="shared" si="12"/>
        <v>20.484259531222463</v>
      </c>
      <c r="O59" s="8">
        <f t="shared" si="13"/>
        <v>22.8496644295302</v>
      </c>
      <c r="Q59" s="10"/>
      <c r="S59" s="4">
        <v>10</v>
      </c>
      <c r="T59" s="23">
        <v>-971.00000000000011</v>
      </c>
      <c r="U59" s="4">
        <v>77</v>
      </c>
      <c r="W59" s="18">
        <f t="shared" si="14"/>
        <v>97.100000000000009</v>
      </c>
      <c r="X59" s="15">
        <f t="shared" si="15"/>
        <v>12.610389610389612</v>
      </c>
      <c r="Y59" s="8">
        <f t="shared" si="16"/>
        <v>7.7</v>
      </c>
      <c r="AC59" s="15">
        <f t="shared" si="17"/>
        <v>7.8738699208328509</v>
      </c>
      <c r="AD59" s="20">
        <f t="shared" si="18"/>
        <v>0.38438635816107297</v>
      </c>
      <c r="AE59" s="2"/>
      <c r="AF59" s="2"/>
      <c r="AG59" s="2"/>
      <c r="AH59" s="8">
        <f t="shared" si="19"/>
        <v>74.5</v>
      </c>
      <c r="AI59" s="5">
        <f t="shared" si="10"/>
        <v>359.11797116374868</v>
      </c>
      <c r="AJ59" s="8">
        <f t="shared" si="20"/>
        <v>221.07792207792207</v>
      </c>
    </row>
    <row r="60" spans="1:36" x14ac:dyDescent="0.2">
      <c r="A60" s="3">
        <v>45</v>
      </c>
      <c r="B60" s="19" t="s">
        <v>62</v>
      </c>
      <c r="C60" s="2">
        <v>44721</v>
      </c>
      <c r="D60" s="2" t="s">
        <v>119</v>
      </c>
      <c r="E60" s="2"/>
      <c r="F60" s="2"/>
      <c r="G60" s="2"/>
      <c r="I60" s="4">
        <v>70</v>
      </c>
      <c r="J60" s="23">
        <v>52376.610000000015</v>
      </c>
      <c r="K60" s="4">
        <v>2293</v>
      </c>
      <c r="L60" s="7"/>
      <c r="M60" s="18">
        <f t="shared" si="11"/>
        <v>748.23728571428592</v>
      </c>
      <c r="N60" s="15">
        <f t="shared" si="12"/>
        <v>22.841958133449637</v>
      </c>
      <c r="O60" s="8">
        <f t="shared" si="13"/>
        <v>32.75714285714286</v>
      </c>
      <c r="Q60" s="10"/>
      <c r="S60" s="4">
        <v>2</v>
      </c>
      <c r="T60" s="23">
        <v>-1151.6600000000001</v>
      </c>
      <c r="U60" s="4">
        <v>86</v>
      </c>
      <c r="W60" s="18">
        <f t="shared" si="14"/>
        <v>575.83000000000004</v>
      </c>
      <c r="X60" s="15">
        <f t="shared" si="15"/>
        <v>13.391395348837211</v>
      </c>
      <c r="Y60" s="8">
        <f t="shared" si="16"/>
        <v>43</v>
      </c>
      <c r="AC60" s="15">
        <f t="shared" si="17"/>
        <v>9.4505627846124263</v>
      </c>
      <c r="AD60" s="20">
        <f t="shared" si="18"/>
        <v>0.41373698040244083</v>
      </c>
      <c r="AE60" s="2"/>
      <c r="AF60" s="2"/>
      <c r="AG60" s="2"/>
      <c r="AH60" s="8">
        <f t="shared" si="19"/>
        <v>35</v>
      </c>
      <c r="AI60" s="5">
        <f t="shared" si="10"/>
        <v>45.479229981070809</v>
      </c>
      <c r="AJ60" s="8">
        <f t="shared" si="20"/>
        <v>26.662790697674417</v>
      </c>
    </row>
    <row r="61" spans="1:36" x14ac:dyDescent="0.2">
      <c r="A61" s="3">
        <v>46</v>
      </c>
      <c r="B61" s="19" t="s">
        <v>59</v>
      </c>
      <c r="C61" s="2">
        <v>42137</v>
      </c>
      <c r="D61" s="2" t="s">
        <v>133</v>
      </c>
      <c r="E61" s="2"/>
      <c r="F61" s="2"/>
      <c r="G61" s="2"/>
      <c r="I61" s="4">
        <v>129</v>
      </c>
      <c r="J61" s="23">
        <v>105169.20999999999</v>
      </c>
      <c r="K61" s="4">
        <v>4644</v>
      </c>
      <c r="L61" s="7"/>
      <c r="M61" s="18">
        <f t="shared" si="11"/>
        <v>815.26519379844956</v>
      </c>
      <c r="N61" s="15">
        <f t="shared" si="12"/>
        <v>22.646255383290264</v>
      </c>
      <c r="O61" s="8">
        <f t="shared" si="13"/>
        <v>36</v>
      </c>
      <c r="Q61" s="10"/>
      <c r="S61" s="4">
        <v>19</v>
      </c>
      <c r="T61" s="23">
        <v>-2182.9600000000005</v>
      </c>
      <c r="U61" s="4">
        <v>193</v>
      </c>
      <c r="W61" s="18">
        <f t="shared" si="14"/>
        <v>114.89263157894739</v>
      </c>
      <c r="X61" s="15">
        <f t="shared" si="15"/>
        <v>11.310673575129536</v>
      </c>
      <c r="Y61" s="8">
        <f t="shared" si="16"/>
        <v>10.157894736842104</v>
      </c>
      <c r="AC61" s="15">
        <f t="shared" si="17"/>
        <v>11.335581808160727</v>
      </c>
      <c r="AD61" s="20">
        <f t="shared" si="18"/>
        <v>0.50054994153800747</v>
      </c>
      <c r="AE61" s="2"/>
      <c r="AF61" s="2"/>
      <c r="AG61" s="2"/>
      <c r="AH61" s="8">
        <f t="shared" si="19"/>
        <v>6.7894736842105265</v>
      </c>
      <c r="AI61" s="5">
        <f t="shared" si="10"/>
        <v>48.177341774471344</v>
      </c>
      <c r="AJ61" s="8">
        <f t="shared" si="20"/>
        <v>24.062176165803109</v>
      </c>
    </row>
    <row r="62" spans="1:36" x14ac:dyDescent="0.2">
      <c r="A62" s="3">
        <v>47</v>
      </c>
      <c r="B62" s="19" t="s">
        <v>1</v>
      </c>
      <c r="C62" s="2">
        <v>11878</v>
      </c>
      <c r="D62" s="2" t="s">
        <v>119</v>
      </c>
      <c r="E62" s="2" t="s">
        <v>122</v>
      </c>
      <c r="F62" s="2" t="s">
        <v>113</v>
      </c>
      <c r="G62" s="2"/>
      <c r="I62" s="4">
        <v>285</v>
      </c>
      <c r="J62" s="23">
        <v>194770.19999999995</v>
      </c>
      <c r="K62" s="4">
        <v>8510</v>
      </c>
      <c r="L62" s="7"/>
      <c r="M62" s="18">
        <f t="shared" si="11"/>
        <v>683.40421052631564</v>
      </c>
      <c r="N62" s="15">
        <f t="shared" si="12"/>
        <v>22.88721504112808</v>
      </c>
      <c r="O62" s="8">
        <f t="shared" si="13"/>
        <v>29.859649122807017</v>
      </c>
      <c r="Q62" s="10"/>
      <c r="S62" s="4">
        <v>9</v>
      </c>
      <c r="T62" s="23">
        <v>-558.25</v>
      </c>
      <c r="U62" s="4">
        <v>50</v>
      </c>
      <c r="W62" s="18">
        <f t="shared" si="14"/>
        <v>62.027777777777779</v>
      </c>
      <c r="X62" s="15">
        <f t="shared" si="15"/>
        <v>11.164999999999999</v>
      </c>
      <c r="Y62" s="8">
        <f t="shared" si="16"/>
        <v>5.5555555555555554</v>
      </c>
      <c r="AC62" s="15">
        <f t="shared" si="17"/>
        <v>11.722215041128081</v>
      </c>
      <c r="AD62" s="20">
        <f t="shared" si="18"/>
        <v>0.51217306343578217</v>
      </c>
      <c r="AE62" s="2"/>
      <c r="AF62" s="2"/>
      <c r="AG62" s="2"/>
      <c r="AH62" s="8">
        <f t="shared" si="19"/>
        <v>31.666666666666668</v>
      </c>
      <c r="AI62" s="5">
        <f t="shared" si="10"/>
        <v>348.89422301836089</v>
      </c>
      <c r="AJ62" s="8">
        <f t="shared" si="20"/>
        <v>170.2</v>
      </c>
    </row>
    <row r="63" spans="1:36" x14ac:dyDescent="0.2">
      <c r="A63" s="3">
        <v>48</v>
      </c>
      <c r="B63" s="19" t="s">
        <v>11</v>
      </c>
      <c r="C63" s="2">
        <v>11915</v>
      </c>
      <c r="D63" s="2" t="s">
        <v>119</v>
      </c>
      <c r="E63" s="2"/>
      <c r="F63" s="2"/>
      <c r="G63" s="2"/>
      <c r="I63" s="4">
        <v>478</v>
      </c>
      <c r="J63" s="23">
        <v>224149.24000000002</v>
      </c>
      <c r="K63" s="4">
        <v>10543</v>
      </c>
      <c r="L63" s="7"/>
      <c r="M63" s="18">
        <f t="shared" si="11"/>
        <v>468.93146443514649</v>
      </c>
      <c r="N63" s="15">
        <f t="shared" si="12"/>
        <v>21.260479939296218</v>
      </c>
      <c r="O63" s="8">
        <f t="shared" si="13"/>
        <v>22.056485355648537</v>
      </c>
      <c r="Q63" s="10"/>
      <c r="S63" s="4">
        <v>7</v>
      </c>
      <c r="T63" s="23">
        <v>-612.32000000000005</v>
      </c>
      <c r="U63" s="4">
        <v>65</v>
      </c>
      <c r="W63" s="18">
        <f t="shared" si="14"/>
        <v>87.474285714285728</v>
      </c>
      <c r="X63" s="15">
        <f t="shared" si="15"/>
        <v>9.4203076923076932</v>
      </c>
      <c r="Y63" s="8">
        <f t="shared" si="16"/>
        <v>9.2857142857142865</v>
      </c>
      <c r="AC63" s="15">
        <f t="shared" si="17"/>
        <v>11.840172246988525</v>
      </c>
      <c r="AD63" s="20">
        <f t="shared" si="18"/>
        <v>0.55690992304948261</v>
      </c>
      <c r="AE63" s="2"/>
      <c r="AF63" s="2"/>
      <c r="AG63" s="2"/>
      <c r="AH63" s="8">
        <f t="shared" si="19"/>
        <v>68.285714285714292</v>
      </c>
      <c r="AI63" s="5">
        <f t="shared" si="10"/>
        <v>366.06552129605433</v>
      </c>
      <c r="AJ63" s="8">
        <f t="shared" si="20"/>
        <v>162.19999999999999</v>
      </c>
    </row>
    <row r="64" spans="1:36" x14ac:dyDescent="0.2">
      <c r="A64" s="3">
        <v>49</v>
      </c>
      <c r="B64" s="19" t="s">
        <v>72</v>
      </c>
      <c r="C64" s="2">
        <v>77457</v>
      </c>
      <c r="D64" s="2" t="s">
        <v>124</v>
      </c>
      <c r="E64" s="2"/>
      <c r="F64" s="2"/>
      <c r="G64" s="2"/>
      <c r="I64" s="4">
        <v>2</v>
      </c>
      <c r="J64" s="23">
        <v>1258</v>
      </c>
      <c r="K64" s="4">
        <v>72</v>
      </c>
      <c r="L64" s="7"/>
      <c r="M64" s="18">
        <f t="shared" si="11"/>
        <v>629</v>
      </c>
      <c r="N64" s="15">
        <f t="shared" si="12"/>
        <v>17.472222222222221</v>
      </c>
      <c r="O64" s="8">
        <f t="shared" si="13"/>
        <v>36</v>
      </c>
      <c r="Q64" s="10"/>
      <c r="S64" s="4">
        <v>2</v>
      </c>
      <c r="T64" s="23">
        <v>-121.55000000000001</v>
      </c>
      <c r="U64" s="4">
        <v>21</v>
      </c>
      <c r="W64" s="18">
        <f t="shared" si="14"/>
        <v>60.775000000000006</v>
      </c>
      <c r="X64" s="15">
        <f t="shared" si="15"/>
        <v>5.7880952380952388</v>
      </c>
      <c r="Y64" s="8">
        <f t="shared" si="16"/>
        <v>10.5</v>
      </c>
      <c r="AC64" s="15">
        <f t="shared" si="17"/>
        <v>11.684126984126983</v>
      </c>
      <c r="AD64" s="20">
        <f t="shared" si="18"/>
        <v>0.6687258687258687</v>
      </c>
      <c r="AE64" s="2"/>
      <c r="AF64" s="2"/>
      <c r="AG64" s="2"/>
      <c r="AH64" s="8">
        <f t="shared" si="19"/>
        <v>1</v>
      </c>
      <c r="AI64" s="5">
        <f t="shared" si="10"/>
        <v>10.349650349650348</v>
      </c>
      <c r="AJ64" s="8">
        <f t="shared" si="20"/>
        <v>3.4285714285714284</v>
      </c>
    </row>
    <row r="65" spans="1:36" x14ac:dyDescent="0.2">
      <c r="A65" s="3">
        <v>50</v>
      </c>
      <c r="B65" s="19" t="s">
        <v>69</v>
      </c>
      <c r="C65" s="2">
        <v>74138</v>
      </c>
      <c r="D65" s="2" t="s">
        <v>133</v>
      </c>
      <c r="E65" s="2"/>
      <c r="F65" s="2"/>
      <c r="G65" s="2"/>
      <c r="I65" s="4">
        <v>272</v>
      </c>
      <c r="J65" s="23">
        <v>228263.56000000006</v>
      </c>
      <c r="K65" s="4">
        <v>6363</v>
      </c>
      <c r="L65" s="7"/>
      <c r="M65" s="18">
        <f t="shared" si="11"/>
        <v>839.20426470588257</v>
      </c>
      <c r="N65" s="15">
        <f t="shared" si="12"/>
        <v>35.873575357535763</v>
      </c>
      <c r="O65" s="8">
        <f t="shared" si="13"/>
        <v>23.393382352941178</v>
      </c>
      <c r="Q65" s="10"/>
      <c r="S65" s="4">
        <v>22</v>
      </c>
      <c r="T65" s="23">
        <v>-2523.34</v>
      </c>
      <c r="U65" s="4">
        <v>218</v>
      </c>
      <c r="W65" s="18">
        <f t="shared" si="14"/>
        <v>114.69727272727273</v>
      </c>
      <c r="X65" s="15">
        <f t="shared" si="15"/>
        <v>11.574954128440368</v>
      </c>
      <c r="Y65" s="8">
        <f t="shared" si="16"/>
        <v>9.9090909090909083</v>
      </c>
      <c r="AC65" s="15">
        <f t="shared" si="17"/>
        <v>24.298621229095396</v>
      </c>
      <c r="AD65" s="20">
        <f t="shared" si="18"/>
        <v>0.67734038179696299</v>
      </c>
      <c r="AE65" s="2"/>
      <c r="AF65" s="2"/>
      <c r="AG65" s="2"/>
      <c r="AH65" s="8">
        <f t="shared" si="19"/>
        <v>12.363636363636363</v>
      </c>
      <c r="AI65" s="5">
        <f t="shared" si="10"/>
        <v>90.460881212995488</v>
      </c>
      <c r="AJ65" s="8">
        <f t="shared" si="20"/>
        <v>29.188073394495412</v>
      </c>
    </row>
    <row r="66" spans="1:36" x14ac:dyDescent="0.2">
      <c r="A66" s="3">
        <v>51</v>
      </c>
      <c r="B66" s="19" t="s">
        <v>57</v>
      </c>
      <c r="C66" s="2">
        <v>41861</v>
      </c>
      <c r="D66" s="2" t="s">
        <v>133</v>
      </c>
      <c r="E66" s="2"/>
      <c r="F66" s="2"/>
      <c r="G66" s="2"/>
      <c r="I66" s="4">
        <v>119</v>
      </c>
      <c r="J66" s="23">
        <v>93312.75999999998</v>
      </c>
      <c r="K66" s="4">
        <v>3980</v>
      </c>
      <c r="L66" s="7"/>
      <c r="M66" s="18">
        <f t="shared" si="11"/>
        <v>784.14084033613426</v>
      </c>
      <c r="N66" s="15">
        <f t="shared" si="12"/>
        <v>23.445417085427131</v>
      </c>
      <c r="O66" s="8">
        <f t="shared" si="13"/>
        <v>33.445378151260506</v>
      </c>
      <c r="Q66" s="10"/>
      <c r="S66" s="4">
        <v>32</v>
      </c>
      <c r="T66" s="23">
        <v>-4898.0000000000009</v>
      </c>
      <c r="U66" s="4">
        <v>681</v>
      </c>
      <c r="W66" s="18">
        <f t="shared" si="14"/>
        <v>153.06250000000003</v>
      </c>
      <c r="X66" s="15">
        <f t="shared" si="15"/>
        <v>7.1923641703377399</v>
      </c>
      <c r="Y66" s="8">
        <f t="shared" si="16"/>
        <v>21.28125</v>
      </c>
      <c r="AC66" s="15">
        <f t="shared" si="17"/>
        <v>16.253052915089391</v>
      </c>
      <c r="AD66" s="20">
        <f t="shared" si="18"/>
        <v>0.69322942116443442</v>
      </c>
      <c r="AE66" s="2"/>
      <c r="AF66" s="2"/>
      <c r="AG66" s="2"/>
      <c r="AH66" s="8">
        <f t="shared" si="19"/>
        <v>3.71875</v>
      </c>
      <c r="AI66" s="5">
        <f t="shared" si="10"/>
        <v>19.051196406696604</v>
      </c>
      <c r="AJ66" s="8">
        <f t="shared" si="20"/>
        <v>5.8443465491923643</v>
      </c>
    </row>
    <row r="67" spans="1:36" x14ac:dyDescent="0.2">
      <c r="A67" s="3">
        <v>52</v>
      </c>
      <c r="B67" s="19" t="s">
        <v>8</v>
      </c>
      <c r="C67" s="2">
        <v>11910</v>
      </c>
      <c r="D67" s="2" t="s">
        <v>119</v>
      </c>
      <c r="E67" s="2"/>
      <c r="F67" s="2"/>
      <c r="G67" s="2"/>
      <c r="I67" s="4">
        <v>1809</v>
      </c>
      <c r="J67" s="23">
        <v>1646192.629999998</v>
      </c>
      <c r="K67" s="4">
        <v>81075</v>
      </c>
      <c r="L67" s="7"/>
      <c r="M67" s="18">
        <f t="shared" si="11"/>
        <v>910.00145384190046</v>
      </c>
      <c r="N67" s="15">
        <f t="shared" si="12"/>
        <v>20.304565279062572</v>
      </c>
      <c r="O67" s="8">
        <f t="shared" si="13"/>
        <v>44.817578772802655</v>
      </c>
      <c r="Q67" s="10"/>
      <c r="S67" s="4">
        <v>3</v>
      </c>
      <c r="T67" s="23">
        <v>-81.849999999999994</v>
      </c>
      <c r="U67" s="4">
        <v>15</v>
      </c>
      <c r="W67" s="18">
        <f t="shared" si="14"/>
        <v>27.283333333333331</v>
      </c>
      <c r="X67" s="15">
        <f t="shared" si="15"/>
        <v>5.4566666666666661</v>
      </c>
      <c r="Y67" s="8">
        <f t="shared" si="16"/>
        <v>5</v>
      </c>
      <c r="AC67" s="15">
        <f t="shared" si="17"/>
        <v>14.847898612395905</v>
      </c>
      <c r="AD67" s="20">
        <f t="shared" si="18"/>
        <v>0.73125912366646872</v>
      </c>
      <c r="AE67" s="2"/>
      <c r="AF67" s="2"/>
      <c r="AG67" s="2"/>
      <c r="AH67" s="8">
        <f t="shared" si="19"/>
        <v>603</v>
      </c>
      <c r="AI67" s="5">
        <f t="shared" si="10"/>
        <v>20112.31069028709</v>
      </c>
      <c r="AJ67" s="8">
        <f t="shared" si="20"/>
        <v>5405</v>
      </c>
    </row>
    <row r="68" spans="1:36" x14ac:dyDescent="0.2">
      <c r="A68" s="3">
        <v>53</v>
      </c>
      <c r="B68" s="19" t="s">
        <v>55</v>
      </c>
      <c r="C68" s="2">
        <v>41857</v>
      </c>
      <c r="D68" s="2" t="s">
        <v>119</v>
      </c>
      <c r="E68" s="2" t="s">
        <v>122</v>
      </c>
      <c r="F68" s="2" t="s">
        <v>113</v>
      </c>
      <c r="G68" s="2"/>
      <c r="I68" s="4">
        <v>233</v>
      </c>
      <c r="J68" s="23">
        <v>127245.22000000004</v>
      </c>
      <c r="K68" s="4">
        <v>5532</v>
      </c>
      <c r="L68" s="7"/>
      <c r="M68" s="18">
        <f t="shared" si="11"/>
        <v>546.11682403433497</v>
      </c>
      <c r="N68" s="15">
        <f t="shared" si="12"/>
        <v>23.001666666666676</v>
      </c>
      <c r="O68" s="8">
        <f t="shared" si="13"/>
        <v>23.742489270386265</v>
      </c>
      <c r="Q68" s="10"/>
      <c r="S68" s="4">
        <v>1</v>
      </c>
      <c r="T68" s="23">
        <v>-4</v>
      </c>
      <c r="U68" s="4">
        <v>1</v>
      </c>
      <c r="W68" s="18">
        <f t="shared" si="14"/>
        <v>4</v>
      </c>
      <c r="X68" s="15">
        <f t="shared" si="15"/>
        <v>4</v>
      </c>
      <c r="Y68" s="8">
        <f t="shared" si="16"/>
        <v>1</v>
      </c>
      <c r="AC68" s="15">
        <f t="shared" si="17"/>
        <v>19.001666666666676</v>
      </c>
      <c r="AD68" s="20">
        <f t="shared" si="18"/>
        <v>0.82609955800304335</v>
      </c>
      <c r="AE68" s="2"/>
      <c r="AF68" s="2"/>
      <c r="AG68" s="2"/>
      <c r="AH68" s="8">
        <f t="shared" si="19"/>
        <v>233</v>
      </c>
      <c r="AI68" s="5">
        <f t="shared" si="10"/>
        <v>31811.305000000011</v>
      </c>
      <c r="AJ68" s="8">
        <f t="shared" si="20"/>
        <v>5532</v>
      </c>
    </row>
    <row r="69" spans="1:36" x14ac:dyDescent="0.2">
      <c r="A69" s="3">
        <v>54</v>
      </c>
      <c r="B69" s="19" t="s">
        <v>50</v>
      </c>
      <c r="C69" s="2">
        <v>34138</v>
      </c>
      <c r="D69" s="2" t="s">
        <v>124</v>
      </c>
      <c r="E69" s="2"/>
      <c r="F69" s="2"/>
      <c r="G69" s="2"/>
      <c r="I69" s="4">
        <v>829</v>
      </c>
      <c r="J69" s="23">
        <v>358780.97780000005</v>
      </c>
      <c r="K69" s="4">
        <v>22734</v>
      </c>
      <c r="L69" s="7"/>
      <c r="M69" s="18">
        <f t="shared" si="11"/>
        <v>432.78766924004833</v>
      </c>
      <c r="N69" s="15">
        <f t="shared" si="12"/>
        <v>15.781691642473829</v>
      </c>
      <c r="O69" s="8">
        <f t="shared" si="13"/>
        <v>27.423401688781663</v>
      </c>
      <c r="Q69" s="10"/>
      <c r="S69" s="4">
        <v>21</v>
      </c>
      <c r="T69" s="23">
        <v>-1041.8098</v>
      </c>
      <c r="U69" s="4">
        <v>431</v>
      </c>
      <c r="W69" s="18">
        <f t="shared" si="14"/>
        <v>49.609990476190475</v>
      </c>
      <c r="X69" s="15">
        <f t="shared" si="15"/>
        <v>2.4171921113689097</v>
      </c>
      <c r="Y69" s="8">
        <f t="shared" si="16"/>
        <v>20.523809523809526</v>
      </c>
      <c r="AC69" s="15">
        <f t="shared" si="17"/>
        <v>13.364499531104919</v>
      </c>
      <c r="AD69" s="20">
        <f t="shared" si="18"/>
        <v>0.84683567730702358</v>
      </c>
      <c r="AE69" s="2"/>
      <c r="AF69" s="2"/>
      <c r="AG69" s="2"/>
      <c r="AH69" s="8">
        <f t="shared" si="19"/>
        <v>39.476190476190474</v>
      </c>
      <c r="AI69" s="5">
        <f t="shared" si="10"/>
        <v>344.38241778873652</v>
      </c>
      <c r="AJ69" s="8">
        <f t="shared" si="20"/>
        <v>52.747099767981439</v>
      </c>
    </row>
    <row r="70" spans="1:36" x14ac:dyDescent="0.2">
      <c r="A70" s="3">
        <v>55</v>
      </c>
      <c r="B70" s="19" t="s">
        <v>15</v>
      </c>
      <c r="C70" s="2">
        <v>12028</v>
      </c>
      <c r="D70" s="2" t="s">
        <v>119</v>
      </c>
      <c r="E70" s="2"/>
      <c r="F70" s="2"/>
      <c r="G70" s="2"/>
      <c r="I70" s="4">
        <v>1342</v>
      </c>
      <c r="J70" s="23">
        <v>1275234.1999999892</v>
      </c>
      <c r="K70" s="4">
        <v>33345</v>
      </c>
      <c r="L70" s="7"/>
      <c r="M70" s="18">
        <f t="shared" si="11"/>
        <v>950.24903129656423</v>
      </c>
      <c r="N70" s="15">
        <f t="shared" si="12"/>
        <v>38.243640725745664</v>
      </c>
      <c r="O70" s="8">
        <f t="shared" si="13"/>
        <v>24.847242921013414</v>
      </c>
      <c r="Q70" s="10"/>
      <c r="S70" s="4">
        <v>4</v>
      </c>
      <c r="T70" s="23">
        <v>-95.36999999999999</v>
      </c>
      <c r="U70" s="4">
        <v>17</v>
      </c>
      <c r="W70" s="18">
        <f t="shared" si="14"/>
        <v>23.842499999999998</v>
      </c>
      <c r="X70" s="15">
        <f t="shared" si="15"/>
        <v>5.6099999999999994</v>
      </c>
      <c r="Y70" s="8">
        <f t="shared" si="16"/>
        <v>4.25</v>
      </c>
      <c r="AC70" s="15">
        <f t="shared" si="17"/>
        <v>32.633640725745664</v>
      </c>
      <c r="AD70" s="20">
        <f t="shared" si="18"/>
        <v>0.85330894513337108</v>
      </c>
      <c r="AE70" s="2"/>
      <c r="AF70" s="2"/>
      <c r="AG70" s="2"/>
      <c r="AH70" s="8">
        <f t="shared" si="19"/>
        <v>335.5</v>
      </c>
      <c r="AI70" s="5">
        <f t="shared" si="10"/>
        <v>13371.439656076223</v>
      </c>
      <c r="AJ70" s="8">
        <f t="shared" si="20"/>
        <v>1961.4705882352941</v>
      </c>
    </row>
    <row r="71" spans="1:36" x14ac:dyDescent="0.2">
      <c r="A71" s="3">
        <v>56</v>
      </c>
      <c r="B71" s="19" t="s">
        <v>60</v>
      </c>
      <c r="C71" s="2">
        <v>43761</v>
      </c>
      <c r="D71" s="2" t="s">
        <v>119</v>
      </c>
      <c r="E71" s="2" t="s">
        <v>122</v>
      </c>
      <c r="F71" s="2" t="s">
        <v>113</v>
      </c>
      <c r="G71" s="2"/>
      <c r="I71" s="4">
        <v>28</v>
      </c>
      <c r="J71" s="23">
        <v>11267.130000000001</v>
      </c>
      <c r="K71" s="4">
        <v>353</v>
      </c>
      <c r="L71" s="7"/>
      <c r="M71" s="18">
        <f t="shared" si="11"/>
        <v>402.39750000000004</v>
      </c>
      <c r="N71" s="15">
        <f t="shared" si="12"/>
        <v>31.918215297450427</v>
      </c>
      <c r="O71" s="8">
        <f t="shared" si="13"/>
        <v>12.607142857142858</v>
      </c>
      <c r="Q71" s="10"/>
      <c r="S71" s="4">
        <v>2</v>
      </c>
      <c r="T71" s="23">
        <v>-186.82</v>
      </c>
      <c r="U71" s="4">
        <v>41</v>
      </c>
      <c r="W71" s="18">
        <f t="shared" si="14"/>
        <v>93.41</v>
      </c>
      <c r="X71" s="15">
        <f t="shared" si="15"/>
        <v>4.5565853658536586</v>
      </c>
      <c r="Y71" s="8">
        <f t="shared" si="16"/>
        <v>20.5</v>
      </c>
      <c r="AC71" s="15">
        <f t="shared" si="17"/>
        <v>27.361629931596767</v>
      </c>
      <c r="AD71" s="20">
        <f t="shared" si="18"/>
        <v>0.85724185004110698</v>
      </c>
      <c r="AE71" s="2"/>
      <c r="AF71" s="2"/>
      <c r="AG71" s="2"/>
      <c r="AH71" s="8">
        <f t="shared" si="19"/>
        <v>14</v>
      </c>
      <c r="AI71" s="5">
        <f t="shared" si="10"/>
        <v>60.310084573386156</v>
      </c>
      <c r="AJ71" s="8">
        <f t="shared" si="20"/>
        <v>8.6097560975609753</v>
      </c>
    </row>
    <row r="72" spans="1:36" x14ac:dyDescent="0.2">
      <c r="A72" s="3">
        <v>57</v>
      </c>
      <c r="B72" s="19" t="s">
        <v>16</v>
      </c>
      <c r="C72" s="2">
        <v>12036</v>
      </c>
      <c r="D72" s="2" t="s">
        <v>119</v>
      </c>
      <c r="E72" s="2" t="s">
        <v>122</v>
      </c>
      <c r="F72" s="2" t="s">
        <v>114</v>
      </c>
      <c r="G72" s="2"/>
      <c r="I72" s="4">
        <v>2306</v>
      </c>
      <c r="J72" s="23">
        <v>1151964.749999997</v>
      </c>
      <c r="K72" s="4">
        <v>13015</v>
      </c>
      <c r="L72" s="7"/>
      <c r="M72" s="18">
        <f t="shared" si="11"/>
        <v>499.5510624457923</v>
      </c>
      <c r="N72" s="15">
        <f t="shared" si="12"/>
        <v>88.510545524394701</v>
      </c>
      <c r="O72" s="8">
        <f t="shared" si="13"/>
        <v>5.6439722463139637</v>
      </c>
      <c r="Q72" s="10"/>
      <c r="S72" s="4">
        <v>2</v>
      </c>
      <c r="T72" s="23">
        <v>-19.25</v>
      </c>
      <c r="U72" s="4">
        <v>2</v>
      </c>
      <c r="W72" s="18">
        <f t="shared" si="14"/>
        <v>9.625</v>
      </c>
      <c r="X72" s="15">
        <f t="shared" si="15"/>
        <v>9.625</v>
      </c>
      <c r="Y72" s="8">
        <f t="shared" si="16"/>
        <v>1</v>
      </c>
      <c r="AC72" s="15">
        <f t="shared" si="17"/>
        <v>78.885545524394701</v>
      </c>
      <c r="AD72" s="20">
        <f t="shared" si="18"/>
        <v>0.89125589563395902</v>
      </c>
      <c r="AE72" s="2"/>
      <c r="AF72" s="2"/>
      <c r="AG72" s="2"/>
      <c r="AH72" s="8">
        <f t="shared" si="19"/>
        <v>1153</v>
      </c>
      <c r="AI72" s="5">
        <f t="shared" si="10"/>
        <v>59842.324675324518</v>
      </c>
      <c r="AJ72" s="8">
        <f t="shared" si="20"/>
        <v>6507.5</v>
      </c>
    </row>
    <row r="73" spans="1:36" x14ac:dyDescent="0.2">
      <c r="A73" s="3">
        <v>58</v>
      </c>
      <c r="B73" s="19" t="s">
        <v>63</v>
      </c>
      <c r="C73" s="2">
        <v>45197</v>
      </c>
      <c r="D73" s="2" t="s">
        <v>119</v>
      </c>
      <c r="E73" s="2"/>
      <c r="F73" s="2"/>
      <c r="G73" s="2"/>
      <c r="I73" s="4">
        <v>102</v>
      </c>
      <c r="J73" s="23">
        <v>20500.610000000008</v>
      </c>
      <c r="K73" s="4">
        <v>618</v>
      </c>
      <c r="L73" s="7"/>
      <c r="M73" s="18">
        <f t="shared" si="11"/>
        <v>200.98637254901968</v>
      </c>
      <c r="N73" s="15">
        <f t="shared" si="12"/>
        <v>33.172508090614897</v>
      </c>
      <c r="O73" s="8">
        <f t="shared" si="13"/>
        <v>6.0588235294117645</v>
      </c>
      <c r="Q73" s="10"/>
      <c r="S73" s="4">
        <v>5</v>
      </c>
      <c r="T73" s="23">
        <v>-204.1</v>
      </c>
      <c r="U73" s="4">
        <v>57</v>
      </c>
      <c r="W73" s="18">
        <f t="shared" si="14"/>
        <v>40.82</v>
      </c>
      <c r="X73" s="15">
        <f t="shared" si="15"/>
        <v>3.5807017543859647</v>
      </c>
      <c r="Y73" s="8">
        <f t="shared" si="16"/>
        <v>11.4</v>
      </c>
      <c r="AC73" s="15">
        <f t="shared" si="17"/>
        <v>29.591806336228935</v>
      </c>
      <c r="AD73" s="20">
        <f t="shared" si="18"/>
        <v>0.89205815416172862</v>
      </c>
      <c r="AE73" s="2"/>
      <c r="AF73" s="2"/>
      <c r="AG73" s="2"/>
      <c r="AH73" s="8">
        <f t="shared" si="19"/>
        <v>20.399999999999999</v>
      </c>
      <c r="AI73" s="5">
        <f t="shared" si="10"/>
        <v>100.44394904458603</v>
      </c>
      <c r="AJ73" s="8">
        <f t="shared" si="20"/>
        <v>10.842105263157896</v>
      </c>
    </row>
    <row r="74" spans="1:36" x14ac:dyDescent="0.2">
      <c r="A74" s="3">
        <v>59</v>
      </c>
      <c r="B74" s="19" t="s">
        <v>13</v>
      </c>
      <c r="C74" s="2">
        <v>11995</v>
      </c>
      <c r="D74" s="2" t="s">
        <v>124</v>
      </c>
      <c r="E74" s="2"/>
      <c r="F74" s="2"/>
      <c r="G74" s="2"/>
      <c r="I74" s="4">
        <v>2221</v>
      </c>
      <c r="J74" s="23">
        <v>601269.29000000213</v>
      </c>
      <c r="K74" s="4">
        <v>8604</v>
      </c>
      <c r="L74" s="7"/>
      <c r="M74" s="18">
        <f t="shared" si="11"/>
        <v>270.72007654209909</v>
      </c>
      <c r="N74" s="15">
        <f t="shared" si="12"/>
        <v>69.882530218503263</v>
      </c>
      <c r="O74" s="8">
        <f t="shared" si="13"/>
        <v>3.873930661864025</v>
      </c>
      <c r="Q74" s="10"/>
      <c r="S74" s="4">
        <v>1</v>
      </c>
      <c r="T74" s="23">
        <v>-50.39</v>
      </c>
      <c r="U74" s="4">
        <v>7</v>
      </c>
      <c r="W74" s="18">
        <f t="shared" si="14"/>
        <v>50.39</v>
      </c>
      <c r="X74" s="15">
        <f t="shared" si="15"/>
        <v>7.1985714285714284</v>
      </c>
      <c r="Y74" s="8">
        <f t="shared" si="16"/>
        <v>7</v>
      </c>
      <c r="AC74" s="15">
        <f t="shared" si="17"/>
        <v>62.683958789931836</v>
      </c>
      <c r="AD74" s="20">
        <f t="shared" si="18"/>
        <v>0.89699040080455739</v>
      </c>
      <c r="AE74" s="2"/>
      <c r="AF74" s="2"/>
      <c r="AG74" s="2"/>
      <c r="AH74" s="8">
        <f t="shared" si="19"/>
        <v>2221</v>
      </c>
      <c r="AI74" s="5">
        <f t="shared" si="10"/>
        <v>11932.313752728758</v>
      </c>
      <c r="AJ74" s="8">
        <f t="shared" si="20"/>
        <v>1229.1428571428571</v>
      </c>
    </row>
    <row r="75" spans="1:36" x14ac:dyDescent="0.2">
      <c r="A75" s="3">
        <v>60</v>
      </c>
      <c r="B75" s="19" t="s">
        <v>29</v>
      </c>
      <c r="C75" s="2">
        <v>12323</v>
      </c>
      <c r="D75" s="2" t="s">
        <v>119</v>
      </c>
      <c r="E75" s="2" t="s">
        <v>120</v>
      </c>
      <c r="F75" s="2"/>
      <c r="G75" s="2"/>
      <c r="I75" s="4">
        <v>5118</v>
      </c>
      <c r="J75" s="23">
        <v>2735187.7900000042</v>
      </c>
      <c r="K75" s="4">
        <v>184953</v>
      </c>
      <c r="L75" s="7"/>
      <c r="M75" s="18">
        <f t="shared" si="11"/>
        <v>534.42512504884803</v>
      </c>
      <c r="N75" s="15">
        <f t="shared" si="12"/>
        <v>14.788555957459485</v>
      </c>
      <c r="O75" s="8">
        <f t="shared" si="13"/>
        <v>36.137749120750293</v>
      </c>
      <c r="Q75" s="10"/>
      <c r="S75" s="4">
        <v>158</v>
      </c>
      <c r="T75" s="23">
        <v>-9085.2800000000025</v>
      </c>
      <c r="U75" s="4">
        <v>8660</v>
      </c>
      <c r="W75" s="18">
        <f t="shared" si="14"/>
        <v>57.501772151898749</v>
      </c>
      <c r="X75" s="15">
        <f t="shared" si="15"/>
        <v>1.0491085450346422</v>
      </c>
      <c r="Y75" s="8">
        <f t="shared" si="16"/>
        <v>54.810126582278478</v>
      </c>
      <c r="AC75" s="15">
        <f t="shared" si="17"/>
        <v>13.739447412424843</v>
      </c>
      <c r="AD75" s="20">
        <f t="shared" si="18"/>
        <v>0.92905943297963034</v>
      </c>
      <c r="AE75" s="2"/>
      <c r="AF75" s="2"/>
      <c r="AG75" s="2"/>
      <c r="AH75" s="8">
        <f t="shared" si="19"/>
        <v>32.392405063291136</v>
      </c>
      <c r="AI75" s="5">
        <f t="shared" si="10"/>
        <v>301.05707143863521</v>
      </c>
      <c r="AJ75" s="8">
        <f t="shared" si="20"/>
        <v>21.357159353348731</v>
      </c>
    </row>
    <row r="76" spans="1:36" x14ac:dyDescent="0.2">
      <c r="A76" s="3">
        <v>61</v>
      </c>
      <c r="B76" s="19" t="s">
        <v>39</v>
      </c>
      <c r="C76" s="2">
        <v>12761</v>
      </c>
      <c r="D76" s="2" t="s">
        <v>119</v>
      </c>
      <c r="E76" s="2" t="s">
        <v>120</v>
      </c>
      <c r="F76" s="2"/>
      <c r="G76" s="2"/>
      <c r="I76" s="4">
        <v>5149</v>
      </c>
      <c r="J76" s="23">
        <v>3715075.9102999992</v>
      </c>
      <c r="K76" s="4">
        <v>258197</v>
      </c>
      <c r="L76" s="7"/>
      <c r="M76" s="18">
        <f t="shared" si="11"/>
        <v>721.51406298310337</v>
      </c>
      <c r="N76" s="15">
        <f t="shared" si="12"/>
        <v>14.388532439571332</v>
      </c>
      <c r="O76" s="8">
        <f t="shared" si="13"/>
        <v>50.145076713925036</v>
      </c>
      <c r="Q76" s="10"/>
      <c r="S76" s="4">
        <v>1352</v>
      </c>
      <c r="T76" s="23">
        <v>-55809.320000000072</v>
      </c>
      <c r="U76" s="4">
        <v>56092</v>
      </c>
      <c r="W76" s="18">
        <f t="shared" si="14"/>
        <v>41.27908284023674</v>
      </c>
      <c r="X76" s="15">
        <f t="shared" si="15"/>
        <v>0.99496042216358971</v>
      </c>
      <c r="Y76" s="8">
        <f t="shared" si="16"/>
        <v>41.488165680473372</v>
      </c>
      <c r="AC76" s="15">
        <f t="shared" si="17"/>
        <v>13.393572017407742</v>
      </c>
      <c r="AD76" s="20">
        <f t="shared" si="18"/>
        <v>0.93085045842289993</v>
      </c>
      <c r="AE76" s="2"/>
      <c r="AF76" s="2"/>
      <c r="AG76" s="2"/>
      <c r="AH76" s="8">
        <f t="shared" si="19"/>
        <v>3.8084319526627217</v>
      </c>
      <c r="AI76" s="5">
        <f t="shared" si="10"/>
        <v>66.567302921805791</v>
      </c>
      <c r="AJ76" s="8">
        <f t="shared" si="20"/>
        <v>4.6030984810668185</v>
      </c>
    </row>
    <row r="77" spans="1:36" x14ac:dyDescent="0.2">
      <c r="A77" s="3">
        <v>62</v>
      </c>
      <c r="B77" s="19" t="s">
        <v>66</v>
      </c>
      <c r="C77" s="2">
        <v>53957</v>
      </c>
      <c r="D77" s="2" t="s">
        <v>119</v>
      </c>
      <c r="E77" s="2"/>
      <c r="F77" s="2"/>
      <c r="G77" s="2"/>
      <c r="I77" s="4">
        <v>65</v>
      </c>
      <c r="J77" s="23">
        <v>10456.500000000004</v>
      </c>
      <c r="K77" s="4">
        <v>315</v>
      </c>
      <c r="L77" s="7"/>
      <c r="M77" s="18">
        <f t="shared" si="11"/>
        <v>160.86923076923082</v>
      </c>
      <c r="N77" s="15">
        <f t="shared" si="12"/>
        <v>33.195238095238103</v>
      </c>
      <c r="O77" s="8">
        <f t="shared" si="13"/>
        <v>4.8461538461538458</v>
      </c>
      <c r="Q77" s="10"/>
      <c r="S77" s="4">
        <v>1</v>
      </c>
      <c r="T77" s="23">
        <v>-20.6</v>
      </c>
      <c r="U77" s="4">
        <v>14</v>
      </c>
      <c r="W77" s="18">
        <f t="shared" si="14"/>
        <v>20.6</v>
      </c>
      <c r="X77" s="15">
        <f t="shared" si="15"/>
        <v>1.4714285714285715</v>
      </c>
      <c r="Y77" s="8">
        <f t="shared" si="16"/>
        <v>14</v>
      </c>
      <c r="AC77" s="15">
        <f t="shared" si="17"/>
        <v>31.723809523809532</v>
      </c>
      <c r="AD77" s="20">
        <f t="shared" si="18"/>
        <v>0.95567350451872046</v>
      </c>
      <c r="AE77" s="2"/>
      <c r="AF77" s="2"/>
      <c r="AG77" s="2"/>
      <c r="AH77" s="8">
        <f t="shared" si="19"/>
        <v>65</v>
      </c>
      <c r="AI77" s="5">
        <f t="shared" si="10"/>
        <v>507.59708737864094</v>
      </c>
      <c r="AJ77" s="8">
        <f t="shared" si="20"/>
        <v>22.5</v>
      </c>
    </row>
    <row r="78" spans="1:36" x14ac:dyDescent="0.2">
      <c r="A78" s="3">
        <v>63</v>
      </c>
      <c r="B78" s="19" t="s">
        <v>58</v>
      </c>
      <c r="C78" s="2">
        <v>41900</v>
      </c>
      <c r="D78" s="2" t="s">
        <v>119</v>
      </c>
      <c r="E78" s="2"/>
      <c r="F78" s="2"/>
      <c r="G78" s="2"/>
      <c r="I78" s="4">
        <v>48</v>
      </c>
      <c r="J78" s="23">
        <v>50117.609999999986</v>
      </c>
      <c r="K78" s="4">
        <v>2168</v>
      </c>
      <c r="L78" s="7"/>
      <c r="M78" s="18">
        <f t="shared" si="11"/>
        <v>1044.1168749999997</v>
      </c>
      <c r="N78" s="15">
        <f t="shared" si="12"/>
        <v>23.116978782287816</v>
      </c>
      <c r="O78" s="8">
        <f t="shared" si="13"/>
        <v>45.166666666666664</v>
      </c>
      <c r="Q78" s="10"/>
      <c r="S78" s="4">
        <v>1</v>
      </c>
      <c r="T78" s="23">
        <v>-0.85</v>
      </c>
      <c r="U78" s="4">
        <v>1</v>
      </c>
      <c r="W78" s="18">
        <f t="shared" si="14"/>
        <v>0.85</v>
      </c>
      <c r="X78" s="15">
        <f t="shared" si="15"/>
        <v>0.85</v>
      </c>
      <c r="Y78" s="8">
        <f t="shared" si="16"/>
        <v>1</v>
      </c>
      <c r="AC78" s="15">
        <f t="shared" si="17"/>
        <v>22.266978782287815</v>
      </c>
      <c r="AD78" s="20">
        <f t="shared" si="18"/>
        <v>0.96323048924320209</v>
      </c>
      <c r="AE78" s="2"/>
      <c r="AF78" s="2"/>
      <c r="AG78" s="2"/>
      <c r="AH78" s="8">
        <f t="shared" si="19"/>
        <v>48</v>
      </c>
      <c r="AI78" s="5">
        <f t="shared" si="10"/>
        <v>58961.894117647047</v>
      </c>
      <c r="AJ78" s="8">
        <f t="shared" si="20"/>
        <v>2168</v>
      </c>
    </row>
    <row r="79" spans="1:36" x14ac:dyDescent="0.2">
      <c r="A79" s="3">
        <v>64</v>
      </c>
      <c r="B79" s="19" t="s">
        <v>44</v>
      </c>
      <c r="C79" s="2">
        <v>19073</v>
      </c>
      <c r="D79" s="2" t="s">
        <v>119</v>
      </c>
      <c r="E79" s="2" t="s">
        <v>122</v>
      </c>
      <c r="F79" s="2" t="s">
        <v>113</v>
      </c>
      <c r="G79" s="2"/>
      <c r="I79" s="4">
        <v>160</v>
      </c>
      <c r="J79" s="23">
        <v>106404.06000000003</v>
      </c>
      <c r="K79" s="4">
        <v>5323</v>
      </c>
      <c r="L79" s="7"/>
      <c r="M79" s="18">
        <f t="shared" si="11"/>
        <v>665.02537500000017</v>
      </c>
      <c r="N79" s="15">
        <f t="shared" si="12"/>
        <v>19.989490888596659</v>
      </c>
      <c r="O79" s="8">
        <f t="shared" si="13"/>
        <v>33.268749999999997</v>
      </c>
      <c r="Q79" s="10"/>
      <c r="S79" s="4">
        <v>2</v>
      </c>
      <c r="T79" s="23">
        <v>-47.099999999999994</v>
      </c>
      <c r="U79" s="4">
        <v>0</v>
      </c>
      <c r="W79" s="18">
        <f t="shared" si="14"/>
        <v>23.549999999999997</v>
      </c>
      <c r="X79" s="15"/>
      <c r="Y79" s="8"/>
      <c r="AC79" s="15"/>
      <c r="AD79" s="20"/>
      <c r="AE79" s="2"/>
      <c r="AF79" s="2"/>
      <c r="AG79" s="2"/>
      <c r="AH79" s="8">
        <f t="shared" si="19"/>
        <v>80</v>
      </c>
      <c r="AI79" s="5">
        <f t="shared" si="10"/>
        <v>2259.1095541401282</v>
      </c>
      <c r="AJ79" s="8"/>
    </row>
    <row r="80" spans="1:36" x14ac:dyDescent="0.2">
      <c r="A80" s="3">
        <v>65</v>
      </c>
      <c r="B80" s="19" t="s">
        <v>65</v>
      </c>
      <c r="C80" s="2">
        <v>48018</v>
      </c>
      <c r="D80" s="2" t="s">
        <v>119</v>
      </c>
      <c r="E80" s="2" t="s">
        <v>122</v>
      </c>
      <c r="F80" s="2" t="s">
        <v>114</v>
      </c>
      <c r="G80" s="2"/>
      <c r="I80" s="4">
        <v>1265</v>
      </c>
      <c r="J80" s="23">
        <v>485147.2300000001</v>
      </c>
      <c r="K80" s="4">
        <v>5690</v>
      </c>
      <c r="L80" s="7"/>
      <c r="M80" s="18">
        <f t="shared" ref="M80:M90" si="21">SUM(J80/I80)</f>
        <v>383.51559683794471</v>
      </c>
      <c r="N80" s="15">
        <f t="shared" ref="N80:N90" si="22">SUM(J80/K80)</f>
        <v>85.263133567662578</v>
      </c>
      <c r="O80" s="8">
        <f t="shared" ref="O80:O90" si="23">SUM(K80/I80)</f>
        <v>4.4980237154150196</v>
      </c>
      <c r="Q80" s="10"/>
      <c r="S80" s="4"/>
      <c r="T80" s="23"/>
      <c r="U80" s="4"/>
      <c r="W80" s="18"/>
      <c r="X80" s="15"/>
      <c r="Y80" s="8"/>
      <c r="AC80" s="15"/>
      <c r="AD80" s="20"/>
      <c r="AE80" s="2"/>
      <c r="AF80" s="2"/>
      <c r="AG80" s="2"/>
      <c r="AH80" s="8"/>
      <c r="AI80" s="5"/>
      <c r="AJ80" s="8"/>
    </row>
    <row r="81" spans="1:45" x14ac:dyDescent="0.2">
      <c r="A81" s="3">
        <v>66</v>
      </c>
      <c r="B81" s="19" t="s">
        <v>52</v>
      </c>
      <c r="C81" s="2">
        <v>41177</v>
      </c>
      <c r="D81" s="2" t="s">
        <v>119</v>
      </c>
      <c r="E81" s="2" t="s">
        <v>122</v>
      </c>
      <c r="F81" s="2" t="s">
        <v>114</v>
      </c>
      <c r="G81" s="2"/>
      <c r="I81" s="4">
        <v>89</v>
      </c>
      <c r="J81" s="23">
        <v>39208.649999999994</v>
      </c>
      <c r="K81" s="4">
        <v>1641</v>
      </c>
      <c r="L81" s="7"/>
      <c r="M81" s="18">
        <f t="shared" si="21"/>
        <v>440.54662921348307</v>
      </c>
      <c r="N81" s="15">
        <f t="shared" si="22"/>
        <v>23.893144424131624</v>
      </c>
      <c r="O81" s="8">
        <f t="shared" si="23"/>
        <v>18.438202247191011</v>
      </c>
      <c r="Q81" s="10"/>
      <c r="S81" s="4"/>
      <c r="T81" s="23"/>
      <c r="U81" s="4"/>
      <c r="W81" s="18"/>
      <c r="X81" s="15"/>
      <c r="Y81" s="8"/>
      <c r="AC81" s="15"/>
      <c r="AD81" s="20"/>
      <c r="AE81" s="2"/>
      <c r="AF81" s="2"/>
      <c r="AG81" s="2"/>
      <c r="AH81" s="8"/>
      <c r="AI81" s="5"/>
      <c r="AJ81" s="8"/>
    </row>
    <row r="82" spans="1:45" x14ac:dyDescent="0.2">
      <c r="A82" s="3">
        <v>67</v>
      </c>
      <c r="B82" s="19" t="s">
        <v>67</v>
      </c>
      <c r="C82" s="2">
        <v>63977</v>
      </c>
      <c r="D82" s="2" t="s">
        <v>119</v>
      </c>
      <c r="E82" s="2" t="s">
        <v>122</v>
      </c>
      <c r="F82" s="2" t="s">
        <v>114</v>
      </c>
      <c r="G82" s="2"/>
      <c r="I82" s="4">
        <v>74</v>
      </c>
      <c r="J82" s="23">
        <v>7712.3200000000024</v>
      </c>
      <c r="K82" s="4">
        <v>89</v>
      </c>
      <c r="L82" s="7"/>
      <c r="M82" s="18">
        <f t="shared" si="21"/>
        <v>104.22054054054057</v>
      </c>
      <c r="N82" s="15">
        <f t="shared" si="22"/>
        <v>86.655280898876427</v>
      </c>
      <c r="O82" s="8">
        <f t="shared" si="23"/>
        <v>1.2027027027027026</v>
      </c>
      <c r="Q82" s="10"/>
      <c r="S82" s="4"/>
      <c r="T82" s="23"/>
      <c r="U82" s="4"/>
      <c r="W82" s="18"/>
      <c r="X82" s="15"/>
      <c r="Y82" s="8"/>
      <c r="AC82" s="15"/>
      <c r="AD82" s="20"/>
      <c r="AE82" s="2"/>
      <c r="AF82" s="2"/>
      <c r="AG82" s="2"/>
      <c r="AH82" s="8"/>
      <c r="AI82" s="5"/>
      <c r="AJ82" s="8"/>
    </row>
    <row r="83" spans="1:45" x14ac:dyDescent="0.2">
      <c r="A83" s="3">
        <v>68</v>
      </c>
      <c r="B83" s="19" t="s">
        <v>56</v>
      </c>
      <c r="C83" s="2">
        <v>41859</v>
      </c>
      <c r="D83" s="2" t="s">
        <v>119</v>
      </c>
      <c r="E83" s="2"/>
      <c r="F83" s="2"/>
      <c r="G83" s="2"/>
      <c r="I83" s="4">
        <v>258</v>
      </c>
      <c r="J83" s="23">
        <v>131824.32000000001</v>
      </c>
      <c r="K83" s="4">
        <v>5686</v>
      </c>
      <c r="L83" s="7"/>
      <c r="M83" s="18">
        <f t="shared" si="21"/>
        <v>510.94697674418609</v>
      </c>
      <c r="N83" s="15">
        <f t="shared" si="22"/>
        <v>23.18401688357369</v>
      </c>
      <c r="O83" s="8">
        <f t="shared" si="23"/>
        <v>22.038759689922479</v>
      </c>
      <c r="Q83" s="10"/>
      <c r="S83" s="4"/>
      <c r="T83" s="23"/>
      <c r="U83" s="4"/>
      <c r="W83" s="18"/>
      <c r="X83" s="15"/>
      <c r="Y83" s="8"/>
      <c r="AC83" s="15"/>
      <c r="AD83" s="20"/>
      <c r="AE83" s="2"/>
      <c r="AF83" s="2"/>
      <c r="AG83" s="2"/>
      <c r="AH83" s="8"/>
      <c r="AI83" s="5"/>
      <c r="AJ83" s="8"/>
    </row>
    <row r="84" spans="1:45" x14ac:dyDescent="0.2">
      <c r="A84" s="3">
        <v>69</v>
      </c>
      <c r="B84" s="19" t="s">
        <v>68</v>
      </c>
      <c r="C84" s="2">
        <v>73517</v>
      </c>
      <c r="D84" s="2" t="s">
        <v>119</v>
      </c>
      <c r="E84" s="2"/>
      <c r="F84" s="2"/>
      <c r="G84" s="2"/>
      <c r="I84" s="4">
        <v>15</v>
      </c>
      <c r="J84" s="23">
        <v>2057.3000000000002</v>
      </c>
      <c r="K84" s="4">
        <v>73</v>
      </c>
      <c r="L84" s="7"/>
      <c r="M84" s="18">
        <f t="shared" si="21"/>
        <v>137.15333333333334</v>
      </c>
      <c r="N84" s="15">
        <f t="shared" si="22"/>
        <v>28.18219178082192</v>
      </c>
      <c r="O84" s="8">
        <f t="shared" si="23"/>
        <v>4.8666666666666663</v>
      </c>
      <c r="Q84" s="10"/>
      <c r="S84" s="4"/>
      <c r="T84" s="23"/>
      <c r="U84" s="4"/>
      <c r="W84" s="18"/>
      <c r="X84" s="15"/>
      <c r="Y84" s="8"/>
      <c r="AC84" s="15"/>
      <c r="AD84" s="20"/>
      <c r="AE84" s="2"/>
      <c r="AF84" s="2"/>
      <c r="AG84" s="2"/>
      <c r="AH84" s="8"/>
      <c r="AI84" s="5"/>
      <c r="AJ84" s="8"/>
    </row>
    <row r="85" spans="1:45" x14ac:dyDescent="0.2">
      <c r="A85" s="3">
        <v>70</v>
      </c>
      <c r="B85" s="19" t="s">
        <v>40</v>
      </c>
      <c r="C85" s="2">
        <v>12818</v>
      </c>
      <c r="D85" s="2" t="s">
        <v>119</v>
      </c>
      <c r="E85" s="2"/>
      <c r="F85" s="2"/>
      <c r="G85" s="2"/>
      <c r="I85" s="4">
        <v>300</v>
      </c>
      <c r="J85" s="23">
        <v>45716.999999999985</v>
      </c>
      <c r="K85" s="4">
        <v>3334</v>
      </c>
      <c r="L85" s="7"/>
      <c r="M85" s="18">
        <f t="shared" si="21"/>
        <v>152.38999999999996</v>
      </c>
      <c r="N85" s="15">
        <f t="shared" si="22"/>
        <v>13.712357528494296</v>
      </c>
      <c r="O85" s="8">
        <f t="shared" si="23"/>
        <v>11.113333333333333</v>
      </c>
      <c r="Q85" s="10"/>
      <c r="S85" s="4"/>
      <c r="T85" s="23"/>
      <c r="U85" s="4"/>
      <c r="W85" s="18"/>
      <c r="X85" s="15"/>
      <c r="Y85" s="8"/>
      <c r="AC85" s="15"/>
      <c r="AD85" s="20"/>
      <c r="AE85" s="2"/>
      <c r="AF85" s="2"/>
      <c r="AG85" s="2"/>
      <c r="AH85" s="8"/>
      <c r="AI85" s="5"/>
      <c r="AJ85" s="8"/>
    </row>
    <row r="86" spans="1:45" x14ac:dyDescent="0.2">
      <c r="A86" s="3">
        <v>71</v>
      </c>
      <c r="B86" s="19" t="s">
        <v>9</v>
      </c>
      <c r="C86" s="2">
        <v>11912</v>
      </c>
      <c r="D86" s="2" t="s">
        <v>119</v>
      </c>
      <c r="E86" s="2"/>
      <c r="F86" s="2"/>
      <c r="G86" s="2"/>
      <c r="I86" s="4">
        <v>212</v>
      </c>
      <c r="J86" s="23">
        <v>40415.569999999971</v>
      </c>
      <c r="K86" s="4">
        <v>1525</v>
      </c>
      <c r="L86" s="7"/>
      <c r="M86" s="18">
        <f t="shared" si="21"/>
        <v>190.63948113207533</v>
      </c>
      <c r="N86" s="15">
        <f t="shared" si="22"/>
        <v>26.502013114754078</v>
      </c>
      <c r="O86" s="8">
        <f t="shared" si="23"/>
        <v>7.1933962264150946</v>
      </c>
      <c r="Q86" s="10"/>
      <c r="S86" s="4"/>
      <c r="T86" s="23"/>
      <c r="U86" s="4"/>
      <c r="W86" s="18"/>
      <c r="X86" s="15"/>
      <c r="Y86" s="8"/>
      <c r="AC86" s="15"/>
      <c r="AD86" s="20"/>
      <c r="AE86" s="2"/>
      <c r="AF86" s="2"/>
      <c r="AG86" s="2"/>
      <c r="AH86" s="8"/>
      <c r="AI86" s="5"/>
      <c r="AJ86" s="8"/>
    </row>
    <row r="87" spans="1:45" x14ac:dyDescent="0.2">
      <c r="A87" s="3">
        <v>72</v>
      </c>
      <c r="B87" s="19" t="s">
        <v>61</v>
      </c>
      <c r="C87" s="2">
        <v>43977</v>
      </c>
      <c r="D87" s="2" t="s">
        <v>119</v>
      </c>
      <c r="E87" s="2"/>
      <c r="F87" s="2"/>
      <c r="G87" s="2"/>
      <c r="I87" s="4">
        <v>8</v>
      </c>
      <c r="J87" s="23">
        <v>558.9</v>
      </c>
      <c r="K87" s="4">
        <v>19</v>
      </c>
      <c r="L87" s="7"/>
      <c r="M87" s="18">
        <f t="shared" si="21"/>
        <v>69.862499999999997</v>
      </c>
      <c r="N87" s="15">
        <f t="shared" si="22"/>
        <v>29.41578947368421</v>
      </c>
      <c r="O87" s="8">
        <f t="shared" si="23"/>
        <v>2.375</v>
      </c>
      <c r="Q87" s="10"/>
      <c r="S87" s="4"/>
      <c r="T87" s="23"/>
      <c r="U87" s="4"/>
      <c r="W87" s="18"/>
      <c r="X87" s="15"/>
      <c r="Y87" s="8"/>
      <c r="AC87" s="15"/>
      <c r="AD87" s="20"/>
      <c r="AE87" s="2"/>
      <c r="AF87" s="2"/>
      <c r="AG87" s="2"/>
      <c r="AH87" s="8"/>
      <c r="AI87" s="5"/>
      <c r="AJ87" s="8"/>
    </row>
    <row r="88" spans="1:45" x14ac:dyDescent="0.2">
      <c r="A88" s="3">
        <v>73</v>
      </c>
      <c r="B88" s="19" t="s">
        <v>71</v>
      </c>
      <c r="C88" s="2">
        <v>76877</v>
      </c>
      <c r="D88" s="2" t="s">
        <v>133</v>
      </c>
      <c r="E88" s="2"/>
      <c r="F88" s="2"/>
      <c r="G88" s="2"/>
      <c r="I88" s="4">
        <v>2</v>
      </c>
      <c r="J88" s="23">
        <v>24862.05</v>
      </c>
      <c r="K88" s="4">
        <v>169</v>
      </c>
      <c r="L88" s="7"/>
      <c r="M88" s="18">
        <f t="shared" si="21"/>
        <v>12431.025</v>
      </c>
      <c r="N88" s="15">
        <f t="shared" si="22"/>
        <v>147.11272189349111</v>
      </c>
      <c r="O88" s="8">
        <f t="shared" si="23"/>
        <v>84.5</v>
      </c>
      <c r="Q88" s="10"/>
      <c r="S88" s="4"/>
      <c r="T88" s="23"/>
      <c r="U88" s="4"/>
      <c r="W88" s="18"/>
      <c r="X88" s="15"/>
      <c r="Y88" s="8"/>
      <c r="AC88" s="15"/>
      <c r="AD88" s="20"/>
      <c r="AE88" s="2"/>
      <c r="AF88" s="2"/>
      <c r="AG88" s="2"/>
      <c r="AH88" s="8"/>
      <c r="AI88" s="5"/>
      <c r="AJ88" s="8"/>
    </row>
    <row r="89" spans="1:45" x14ac:dyDescent="0.2">
      <c r="A89" s="3">
        <v>74</v>
      </c>
      <c r="B89" s="19" t="s">
        <v>0</v>
      </c>
      <c r="C89" s="2">
        <v>10522</v>
      </c>
      <c r="D89" s="2" t="s">
        <v>124</v>
      </c>
      <c r="E89" s="2" t="s">
        <v>121</v>
      </c>
      <c r="F89" s="2"/>
      <c r="G89" s="2"/>
      <c r="I89" s="4">
        <v>257</v>
      </c>
      <c r="J89" s="23">
        <v>637854.38</v>
      </c>
      <c r="K89" s="4">
        <v>323426</v>
      </c>
      <c r="L89" s="7"/>
      <c r="M89" s="18">
        <f t="shared" si="21"/>
        <v>2481.9236575875489</v>
      </c>
      <c r="N89" s="15">
        <f t="shared" si="22"/>
        <v>1.9721802823520682</v>
      </c>
      <c r="O89" s="8">
        <f t="shared" si="23"/>
        <v>1258.4669260700389</v>
      </c>
      <c r="Q89" s="10"/>
      <c r="S89" s="4"/>
      <c r="T89" s="23"/>
      <c r="U89" s="4"/>
      <c r="W89" s="18"/>
      <c r="X89" s="15"/>
      <c r="Y89" s="8"/>
      <c r="AC89" s="2"/>
      <c r="AD89" s="2"/>
      <c r="AE89" s="2"/>
      <c r="AF89" s="2"/>
      <c r="AG89" s="2"/>
      <c r="AH89" s="8"/>
      <c r="AI89" s="2"/>
      <c r="AJ89" s="8"/>
    </row>
    <row r="90" spans="1:45" x14ac:dyDescent="0.2">
      <c r="B90" s="38" t="s">
        <v>129</v>
      </c>
      <c r="C90" s="38">
        <f>SUM(C95:C104)</f>
        <v>74</v>
      </c>
      <c r="D90" s="38" t="s">
        <v>134</v>
      </c>
      <c r="E90" s="38"/>
      <c r="F90" s="38"/>
      <c r="G90" s="38"/>
      <c r="H90" s="1"/>
      <c r="I90" s="39">
        <f>SUM(I16:I89)</f>
        <v>61289</v>
      </c>
      <c r="J90" s="40">
        <f>SUM(J16:J89)</f>
        <v>29924987.55809997</v>
      </c>
      <c r="K90" s="39">
        <f>SUM(K16:K89)</f>
        <v>3912790</v>
      </c>
      <c r="L90" s="37"/>
      <c r="M90" s="41">
        <f t="shared" si="21"/>
        <v>488.26033314460949</v>
      </c>
      <c r="N90" s="42">
        <f t="shared" si="22"/>
        <v>7.6479922403451166</v>
      </c>
      <c r="O90" s="43">
        <f t="shared" si="23"/>
        <v>63.841635530029862</v>
      </c>
      <c r="P90" s="1"/>
      <c r="Q90" s="10"/>
      <c r="R90" s="1"/>
      <c r="S90" s="39">
        <f>SUM(S16:S89)</f>
        <v>2556</v>
      </c>
      <c r="T90" s="40">
        <f>SUM(T16:T89)</f>
        <v>-166484.38980000015</v>
      </c>
      <c r="U90" s="39">
        <f>SUM(U16:U89)</f>
        <v>79965</v>
      </c>
      <c r="V90" s="37"/>
      <c r="W90" s="41">
        <f>SUM(T90/S90)*-1</f>
        <v>65.134737793427291</v>
      </c>
      <c r="X90" s="42">
        <f>SUM(T90/U90)*-1</f>
        <v>2.0819657325079741</v>
      </c>
      <c r="Y90" s="43">
        <f>SUM(U90/S90)</f>
        <v>31.285211267605632</v>
      </c>
      <c r="Z90" s="1"/>
      <c r="AA90" s="1"/>
      <c r="AB90" s="1"/>
      <c r="AC90" s="42">
        <f>SUM(N90-X90)</f>
        <v>5.566026507837142</v>
      </c>
      <c r="AD90" s="44">
        <f>SUM(AC90/N90)</f>
        <v>0.72777617091122659</v>
      </c>
      <c r="AE90" s="38"/>
      <c r="AF90" s="38"/>
      <c r="AG90" s="38"/>
      <c r="AH90" s="43">
        <f>SUM(I90/S90)</f>
        <v>23.978482003129891</v>
      </c>
      <c r="AI90" s="45">
        <f>SUM(J90/T90)*-1</f>
        <v>179.74650712928249</v>
      </c>
      <c r="AJ90" s="43">
        <f>SUM(K90/U90)</f>
        <v>48.931282436065779</v>
      </c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2">
      <c r="J91" s="25"/>
      <c r="Q91" s="10"/>
      <c r="T91" s="24"/>
      <c r="W91" s="17"/>
      <c r="AH91" s="14"/>
    </row>
    <row r="92" spans="1:45" x14ac:dyDescent="0.2">
      <c r="J92" s="25"/>
      <c r="Q92" s="10"/>
      <c r="T92" s="24"/>
      <c r="W92" s="17"/>
      <c r="AH92" s="14"/>
    </row>
    <row r="93" spans="1:45" x14ac:dyDescent="0.2">
      <c r="B93" s="62" t="s">
        <v>136</v>
      </c>
      <c r="C93" s="62" t="s">
        <v>135</v>
      </c>
      <c r="D93" s="62" t="s">
        <v>115</v>
      </c>
      <c r="E93" s="62" t="s">
        <v>116</v>
      </c>
      <c r="F93" s="62" t="s">
        <v>117</v>
      </c>
      <c r="G93" s="62" t="s">
        <v>75</v>
      </c>
      <c r="H93" s="1"/>
      <c r="I93" s="62" t="s">
        <v>76</v>
      </c>
      <c r="J93" s="62" t="s">
        <v>77</v>
      </c>
      <c r="K93" s="62" t="s">
        <v>78</v>
      </c>
      <c r="L93" s="6"/>
      <c r="M93" s="62" t="s">
        <v>83</v>
      </c>
      <c r="N93" s="62" t="s">
        <v>84</v>
      </c>
      <c r="O93" s="62" t="s">
        <v>85</v>
      </c>
      <c r="P93" s="1"/>
      <c r="Q93" s="9"/>
      <c r="R93" s="1"/>
      <c r="S93" s="62" t="s">
        <v>79</v>
      </c>
      <c r="T93" s="62" t="s">
        <v>80</v>
      </c>
      <c r="U93" s="62" t="s">
        <v>81</v>
      </c>
      <c r="V93" s="1"/>
      <c r="W93" s="62" t="s">
        <v>86</v>
      </c>
      <c r="X93" s="62" t="s">
        <v>87</v>
      </c>
      <c r="Y93" s="62" t="s">
        <v>88</v>
      </c>
      <c r="Z93" s="1"/>
      <c r="AA93" s="1"/>
      <c r="AB93" s="1"/>
      <c r="AC93" s="62" t="s">
        <v>111</v>
      </c>
      <c r="AD93" s="62" t="s">
        <v>137</v>
      </c>
      <c r="AE93" s="62" t="s">
        <v>92</v>
      </c>
      <c r="AF93" s="62" t="s">
        <v>94</v>
      </c>
      <c r="AG93" s="62" t="s">
        <v>96</v>
      </c>
      <c r="AH93" s="62" t="s">
        <v>89</v>
      </c>
      <c r="AI93" s="62" t="s">
        <v>90</v>
      </c>
      <c r="AJ93" s="62" t="s">
        <v>91</v>
      </c>
      <c r="AK93" s="1"/>
    </row>
    <row r="94" spans="1:45" x14ac:dyDescent="0.2">
      <c r="B94" s="62"/>
      <c r="C94" s="62"/>
      <c r="D94" s="62"/>
      <c r="E94" s="62"/>
      <c r="F94" s="62"/>
      <c r="G94" s="62"/>
      <c r="H94" s="1"/>
      <c r="I94" s="62"/>
      <c r="J94" s="62"/>
      <c r="K94" s="62"/>
      <c r="L94" s="6"/>
      <c r="M94" s="62"/>
      <c r="N94" s="62"/>
      <c r="O94" s="62"/>
      <c r="P94" s="1"/>
      <c r="Q94" s="9"/>
      <c r="R94" s="1"/>
      <c r="S94" s="62"/>
      <c r="T94" s="62"/>
      <c r="U94" s="62"/>
      <c r="V94" s="1"/>
      <c r="W94" s="62"/>
      <c r="X94" s="62"/>
      <c r="Y94" s="62"/>
      <c r="Z94" s="1"/>
      <c r="AA94" s="1"/>
      <c r="AB94" s="1"/>
      <c r="AC94" s="62"/>
      <c r="AD94" s="62"/>
      <c r="AE94" s="62"/>
      <c r="AF94" s="62"/>
      <c r="AG94" s="62"/>
      <c r="AH94" s="62"/>
      <c r="AI94" s="62"/>
      <c r="AJ94" s="62"/>
      <c r="AK94" s="1"/>
    </row>
    <row r="95" spans="1:45" x14ac:dyDescent="0.2">
      <c r="B95" s="26" t="s">
        <v>129</v>
      </c>
      <c r="C95" s="2">
        <v>34</v>
      </c>
      <c r="D95" s="2" t="s">
        <v>119</v>
      </c>
      <c r="E95" s="2"/>
      <c r="F95" s="2"/>
      <c r="G95" s="2"/>
      <c r="I95" s="4">
        <v>14264</v>
      </c>
      <c r="J95" s="23">
        <v>9763484.0899999887</v>
      </c>
      <c r="K95" s="4">
        <v>416190</v>
      </c>
      <c r="M95" s="18">
        <f t="shared" ref="M95:M105" si="24">SUM(J95/I95)</f>
        <v>684.48430243970756</v>
      </c>
      <c r="N95" s="15">
        <f t="shared" ref="N95:N105" si="25">SUM(J95/K95)</f>
        <v>23.459199139815922</v>
      </c>
      <c r="O95" s="8">
        <f t="shared" ref="O95:O105" si="26">SUM(K95/I95)</f>
        <v>29.177650028042624</v>
      </c>
      <c r="Q95" s="9"/>
      <c r="S95" s="4">
        <v>262</v>
      </c>
      <c r="T95" s="23">
        <v>-31739.01</v>
      </c>
      <c r="U95" s="4">
        <v>1466</v>
      </c>
      <c r="W95" s="18">
        <f>SUM(T95/S95)*-1</f>
        <v>121.14125954198472</v>
      </c>
      <c r="X95" s="15">
        <f>SUM(T95/U95)*-1</f>
        <v>21.650075034106411</v>
      </c>
      <c r="Y95" s="8">
        <f t="shared" ref="Y95:Y105" si="27">SUM(U95/S95)</f>
        <v>5.5954198473282446</v>
      </c>
      <c r="AC95" s="15">
        <f t="shared" ref="AC95:AC105" si="28">SUM(N95-X95)</f>
        <v>1.8091241057095111</v>
      </c>
      <c r="AD95" s="20">
        <f t="shared" ref="AD95:AD105" si="29">SUM(AC95/N95)</f>
        <v>7.7117897116913553E-2</v>
      </c>
      <c r="AE95" s="2"/>
      <c r="AF95" s="2"/>
      <c r="AG95" s="2"/>
      <c r="AH95" s="8">
        <f t="shared" ref="AH95:AJ105" si="30">SUM(I95/S95)</f>
        <v>54.44274809160305</v>
      </c>
      <c r="AI95" s="5">
        <f t="shared" si="30"/>
        <v>-307.61778927572061</v>
      </c>
      <c r="AJ95" s="8">
        <f t="shared" si="30"/>
        <v>283.8949522510232</v>
      </c>
    </row>
    <row r="96" spans="1:45" x14ac:dyDescent="0.2">
      <c r="B96" s="26" t="s">
        <v>129</v>
      </c>
      <c r="C96" s="2">
        <v>15</v>
      </c>
      <c r="D96" s="2" t="s">
        <v>119</v>
      </c>
      <c r="E96" s="2" t="s">
        <v>122</v>
      </c>
      <c r="F96" s="2" t="s">
        <v>113</v>
      </c>
      <c r="G96" s="2"/>
      <c r="I96" s="4">
        <v>6814</v>
      </c>
      <c r="J96" s="23">
        <v>2601953.579999995</v>
      </c>
      <c r="K96" s="4">
        <v>104527</v>
      </c>
      <c r="M96" s="18">
        <f t="shared" si="24"/>
        <v>381.8540622248305</v>
      </c>
      <c r="N96" s="15">
        <f t="shared" si="25"/>
        <v>24.892645727898007</v>
      </c>
      <c r="O96" s="8">
        <f t="shared" si="26"/>
        <v>15.340035221602584</v>
      </c>
      <c r="Q96" s="9"/>
      <c r="S96" s="4">
        <v>93</v>
      </c>
      <c r="T96" s="23">
        <v>-10968.66</v>
      </c>
      <c r="U96" s="4">
        <v>596</v>
      </c>
      <c r="W96" s="18">
        <f>SUM(T96/S96)*-1</f>
        <v>117.94258064516129</v>
      </c>
      <c r="X96" s="15">
        <f>SUM(T96/U96)*-1</f>
        <v>18.403791946308726</v>
      </c>
      <c r="Y96" s="8">
        <f t="shared" si="27"/>
        <v>6.408602150537634</v>
      </c>
      <c r="AC96" s="15">
        <f t="shared" si="28"/>
        <v>6.4888537815892811</v>
      </c>
      <c r="AD96" s="20">
        <f t="shared" si="29"/>
        <v>0.26067352793749077</v>
      </c>
      <c r="AE96" s="2"/>
      <c r="AF96" s="2"/>
      <c r="AG96" s="2"/>
      <c r="AH96" s="8">
        <f t="shared" si="30"/>
        <v>73.268817204301072</v>
      </c>
      <c r="AI96" s="5">
        <f t="shared" si="30"/>
        <v>-237.21708759319688</v>
      </c>
      <c r="AJ96" s="8">
        <f t="shared" si="30"/>
        <v>175.38087248322148</v>
      </c>
    </row>
    <row r="97" spans="2:36" x14ac:dyDescent="0.2">
      <c r="B97" s="26" t="s">
        <v>129</v>
      </c>
      <c r="C97" s="2">
        <v>5</v>
      </c>
      <c r="D97" s="2" t="s">
        <v>119</v>
      </c>
      <c r="E97" s="2" t="s">
        <v>122</v>
      </c>
      <c r="F97" s="2" t="s">
        <v>114</v>
      </c>
      <c r="G97" s="2"/>
      <c r="I97" s="4">
        <v>5276</v>
      </c>
      <c r="J97" s="23">
        <v>2195468.4399999967</v>
      </c>
      <c r="K97" s="4">
        <v>31487</v>
      </c>
      <c r="M97" s="18">
        <f t="shared" si="24"/>
        <v>416.12366186504863</v>
      </c>
      <c r="N97" s="15">
        <f t="shared" si="25"/>
        <v>69.726186680217126</v>
      </c>
      <c r="O97" s="8">
        <f t="shared" si="26"/>
        <v>5.9679681576952239</v>
      </c>
      <c r="Q97" s="9"/>
      <c r="S97" s="4">
        <v>187</v>
      </c>
      <c r="T97" s="23">
        <v>-18128.610000000011</v>
      </c>
      <c r="U97" s="4">
        <v>393</v>
      </c>
      <c r="W97" s="18">
        <f>SUM(T97/S97)*-1</f>
        <v>96.944438502673862</v>
      </c>
      <c r="X97" s="15">
        <f>SUM(T97/U97)*-1</f>
        <v>46.128778625954226</v>
      </c>
      <c r="Y97" s="8">
        <f t="shared" si="27"/>
        <v>2.1016042780748663</v>
      </c>
      <c r="AC97" s="15">
        <f t="shared" si="28"/>
        <v>23.5974080542629</v>
      </c>
      <c r="AD97" s="20">
        <f t="shared" si="29"/>
        <v>0.33842963709584323</v>
      </c>
      <c r="AE97" s="2"/>
      <c r="AF97" s="2"/>
      <c r="AG97" s="2"/>
      <c r="AH97" s="8">
        <f t="shared" si="30"/>
        <v>28.213903743315509</v>
      </c>
      <c r="AI97" s="5">
        <f t="shared" si="30"/>
        <v>-121.10517243186297</v>
      </c>
      <c r="AJ97" s="8">
        <f t="shared" si="30"/>
        <v>80.119592875318062</v>
      </c>
    </row>
    <row r="98" spans="2:36" x14ac:dyDescent="0.2">
      <c r="B98" s="26" t="s">
        <v>129</v>
      </c>
      <c r="C98" s="2">
        <v>3</v>
      </c>
      <c r="D98" s="2" t="s">
        <v>119</v>
      </c>
      <c r="E98" s="2" t="s">
        <v>120</v>
      </c>
      <c r="F98" s="2"/>
      <c r="G98" s="2"/>
      <c r="I98" s="4">
        <v>14678</v>
      </c>
      <c r="J98" s="23">
        <v>6932069.7103000041</v>
      </c>
      <c r="K98" s="4">
        <v>478258</v>
      </c>
      <c r="M98" s="18">
        <f t="shared" si="24"/>
        <v>472.27617592996347</v>
      </c>
      <c r="N98" s="15">
        <f t="shared" si="25"/>
        <v>14.494414542569082</v>
      </c>
      <c r="O98" s="8">
        <f t="shared" si="26"/>
        <v>32.583321978471183</v>
      </c>
      <c r="Q98" s="9"/>
      <c r="S98" s="4">
        <v>1532</v>
      </c>
      <c r="T98" s="23">
        <v>-65830.45000000007</v>
      </c>
      <c r="U98" s="4">
        <v>64835</v>
      </c>
      <c r="W98" s="18">
        <f>SUM(T98/S98)*-1</f>
        <v>42.970267624020934</v>
      </c>
      <c r="X98" s="15">
        <f>SUM(T98/U98)*-1</f>
        <v>1.0153535898820092</v>
      </c>
      <c r="Y98" s="8">
        <f t="shared" si="27"/>
        <v>42.320496083550914</v>
      </c>
      <c r="AC98" s="15">
        <f t="shared" si="28"/>
        <v>13.479060952687073</v>
      </c>
      <c r="AD98" s="20">
        <f t="shared" si="29"/>
        <v>0.92994863042587983</v>
      </c>
      <c r="AE98" s="2"/>
      <c r="AF98" s="2"/>
      <c r="AG98" s="2"/>
      <c r="AH98" s="8">
        <f t="shared" si="30"/>
        <v>9.5809399477806796</v>
      </c>
      <c r="AI98" s="5">
        <f t="shared" si="30"/>
        <v>-105.30187337774535</v>
      </c>
      <c r="AJ98" s="8">
        <f t="shared" si="30"/>
        <v>7.3765404488316495</v>
      </c>
    </row>
    <row r="99" spans="2:36" x14ac:dyDescent="0.2">
      <c r="B99" s="26" t="s">
        <v>129</v>
      </c>
      <c r="C99" s="2">
        <v>1</v>
      </c>
      <c r="D99" s="2" t="s">
        <v>124</v>
      </c>
      <c r="E99" s="2" t="s">
        <v>121</v>
      </c>
      <c r="F99" s="2"/>
      <c r="G99" s="2"/>
      <c r="I99" s="4">
        <v>257</v>
      </c>
      <c r="J99" s="23">
        <v>637854.38</v>
      </c>
      <c r="K99" s="4">
        <v>323426</v>
      </c>
      <c r="M99" s="18">
        <f t="shared" si="24"/>
        <v>2481.9236575875489</v>
      </c>
      <c r="N99" s="15">
        <f t="shared" si="25"/>
        <v>1.9721802823520682</v>
      </c>
      <c r="O99" s="8">
        <f t="shared" si="26"/>
        <v>1258.4669260700389</v>
      </c>
      <c r="Q99" s="9"/>
      <c r="S99" s="4"/>
      <c r="T99" s="23"/>
      <c r="U99" s="4"/>
      <c r="W99" s="18"/>
      <c r="X99" s="15"/>
      <c r="Y99" s="8"/>
      <c r="AC99" s="15"/>
      <c r="AD99" s="20">
        <f t="shared" si="29"/>
        <v>0</v>
      </c>
      <c r="AE99" s="2"/>
      <c r="AF99" s="2"/>
      <c r="AG99" s="2"/>
      <c r="AH99" s="8"/>
      <c r="AI99" s="5"/>
      <c r="AJ99" s="8"/>
    </row>
    <row r="100" spans="2:36" x14ac:dyDescent="0.2">
      <c r="B100" s="26" t="s">
        <v>129</v>
      </c>
      <c r="C100" s="2">
        <v>1</v>
      </c>
      <c r="D100" s="2" t="s">
        <v>124</v>
      </c>
      <c r="E100" s="2" t="s">
        <v>118</v>
      </c>
      <c r="F100" s="2"/>
      <c r="G100" s="2"/>
      <c r="I100" s="4">
        <v>12711</v>
      </c>
      <c r="J100" s="23">
        <v>4475701.7899999944</v>
      </c>
      <c r="K100" s="4">
        <v>2100886</v>
      </c>
      <c r="M100" s="18">
        <f t="shared" si="24"/>
        <v>352.11248446227631</v>
      </c>
      <c r="N100" s="15">
        <f t="shared" si="25"/>
        <v>2.1303877459319516</v>
      </c>
      <c r="O100" s="8">
        <f t="shared" si="26"/>
        <v>165.28093777043506</v>
      </c>
      <c r="Q100" s="9"/>
      <c r="S100" s="4">
        <v>40</v>
      </c>
      <c r="T100" s="23">
        <v>-1605.15</v>
      </c>
      <c r="U100" s="4">
        <v>905</v>
      </c>
      <c r="W100" s="18">
        <f t="shared" ref="W100:W105" si="31">SUM(T100/S100)*-1</f>
        <v>40.128750000000004</v>
      </c>
      <c r="X100" s="15">
        <f t="shared" ref="X100:X105" si="32">SUM(T100/U100)*-1</f>
        <v>1.7736464088397792</v>
      </c>
      <c r="Y100" s="8">
        <f t="shared" si="27"/>
        <v>22.625</v>
      </c>
      <c r="AC100" s="15">
        <f t="shared" si="28"/>
        <v>0.35674133709217237</v>
      </c>
      <c r="AD100" s="20">
        <f t="shared" si="29"/>
        <v>0.16745371248655658</v>
      </c>
      <c r="AE100" s="2"/>
      <c r="AF100" s="2"/>
      <c r="AG100" s="2"/>
      <c r="AH100" s="8">
        <f t="shared" si="30"/>
        <v>317.77499999999998</v>
      </c>
      <c r="AI100" s="5">
        <f t="shared" si="30"/>
        <v>-2788.3386537083725</v>
      </c>
      <c r="AJ100" s="8">
        <f t="shared" si="30"/>
        <v>2321.4209944751383</v>
      </c>
    </row>
    <row r="101" spans="2:36" x14ac:dyDescent="0.2">
      <c r="B101" s="26" t="s">
        <v>129</v>
      </c>
      <c r="C101" s="2">
        <v>6</v>
      </c>
      <c r="D101" s="2" t="s">
        <v>124</v>
      </c>
      <c r="E101" s="2"/>
      <c r="F101" s="2"/>
      <c r="G101" s="2"/>
      <c r="I101" s="4">
        <v>3335</v>
      </c>
      <c r="J101" s="23">
        <v>2131540.5478000022</v>
      </c>
      <c r="K101" s="4">
        <v>132403</v>
      </c>
      <c r="M101" s="18">
        <f t="shared" si="24"/>
        <v>639.14259304347888</v>
      </c>
      <c r="N101" s="15">
        <f t="shared" si="25"/>
        <v>16.098884072113187</v>
      </c>
      <c r="O101" s="8">
        <f t="shared" si="26"/>
        <v>39.701049475262366</v>
      </c>
      <c r="Q101" s="9"/>
      <c r="S101" s="4">
        <v>34</v>
      </c>
      <c r="T101" s="23">
        <v>-3568.3498000000004</v>
      </c>
      <c r="U101" s="4">
        <v>638</v>
      </c>
      <c r="W101" s="18">
        <f t="shared" si="31"/>
        <v>104.95146470588236</v>
      </c>
      <c r="X101" s="15">
        <f t="shared" si="32"/>
        <v>5.5930247648902824</v>
      </c>
      <c r="Y101" s="8">
        <f t="shared" si="27"/>
        <v>18.764705882352942</v>
      </c>
      <c r="AC101" s="15">
        <f t="shared" si="28"/>
        <v>10.505859307222904</v>
      </c>
      <c r="AD101" s="20">
        <f t="shared" si="29"/>
        <v>0.65258307719734232</v>
      </c>
      <c r="AE101" s="2"/>
      <c r="AF101" s="2"/>
      <c r="AG101" s="2"/>
      <c r="AH101" s="8">
        <f t="shared" si="30"/>
        <v>98.088235294117652</v>
      </c>
      <c r="AI101" s="5">
        <f t="shared" si="30"/>
        <v>-597.34629934542909</v>
      </c>
      <c r="AJ101" s="8">
        <f t="shared" si="30"/>
        <v>207.52821316614421</v>
      </c>
    </row>
    <row r="102" spans="2:36" x14ac:dyDescent="0.2">
      <c r="B102" s="26" t="s">
        <v>129</v>
      </c>
      <c r="C102" s="2">
        <v>1</v>
      </c>
      <c r="D102" s="2" t="s">
        <v>125</v>
      </c>
      <c r="E102" s="2" t="s">
        <v>126</v>
      </c>
      <c r="F102" s="2"/>
      <c r="G102" s="2"/>
      <c r="I102" s="4">
        <v>1995</v>
      </c>
      <c r="J102" s="23">
        <v>437425.4000000002</v>
      </c>
      <c r="K102" s="4">
        <v>201229</v>
      </c>
      <c r="M102" s="18">
        <f t="shared" si="24"/>
        <v>219.2608521303259</v>
      </c>
      <c r="N102" s="33">
        <f t="shared" si="25"/>
        <v>2.173769188337666</v>
      </c>
      <c r="O102" s="8">
        <f t="shared" si="26"/>
        <v>100.86666666666666</v>
      </c>
      <c r="Q102" s="9"/>
      <c r="S102" s="4">
        <v>311</v>
      </c>
      <c r="T102" s="23">
        <v>-23597.810000000012</v>
      </c>
      <c r="U102" s="4">
        <v>9337</v>
      </c>
      <c r="W102" s="18">
        <f t="shared" si="31"/>
        <v>75.877202572347301</v>
      </c>
      <c r="X102" s="49">
        <f t="shared" si="32"/>
        <v>2.5273439006104756</v>
      </c>
      <c r="Y102" s="8">
        <f t="shared" si="27"/>
        <v>30.022508038585208</v>
      </c>
      <c r="AC102" s="31">
        <f t="shared" si="28"/>
        <v>-0.35357471227280968</v>
      </c>
      <c r="AD102" s="50">
        <f t="shared" si="29"/>
        <v>-0.16265513108279764</v>
      </c>
      <c r="AE102" s="2"/>
      <c r="AF102" s="2"/>
      <c r="AG102" s="2"/>
      <c r="AH102" s="8">
        <f t="shared" si="30"/>
        <v>6.414790996784566</v>
      </c>
      <c r="AI102" s="5">
        <f t="shared" si="30"/>
        <v>-18.536694718704826</v>
      </c>
      <c r="AJ102" s="8">
        <f t="shared" si="30"/>
        <v>21.551783228017566</v>
      </c>
    </row>
    <row r="103" spans="2:36" x14ac:dyDescent="0.2">
      <c r="B103" s="26" t="s">
        <v>129</v>
      </c>
      <c r="C103" s="2">
        <v>2</v>
      </c>
      <c r="D103" s="2" t="s">
        <v>123</v>
      </c>
      <c r="E103" s="2"/>
      <c r="F103" s="2"/>
      <c r="G103" s="2"/>
      <c r="I103" s="4">
        <v>1084</v>
      </c>
      <c r="J103" s="23">
        <v>105782.25000000003</v>
      </c>
      <c r="K103" s="4">
        <v>100745</v>
      </c>
      <c r="M103" s="18">
        <f t="shared" si="24"/>
        <v>97.585101476014785</v>
      </c>
      <c r="N103" s="15">
        <f t="shared" si="25"/>
        <v>1.0500000000000003</v>
      </c>
      <c r="O103" s="8">
        <f t="shared" si="26"/>
        <v>92.938191881918826</v>
      </c>
      <c r="Q103" s="9"/>
      <c r="S103" s="4">
        <v>9</v>
      </c>
      <c r="T103" s="23">
        <v>-695.1</v>
      </c>
      <c r="U103" s="4">
        <v>662</v>
      </c>
      <c r="W103" s="18">
        <f t="shared" si="31"/>
        <v>77.233333333333334</v>
      </c>
      <c r="X103" s="15">
        <f t="shared" si="32"/>
        <v>1.05</v>
      </c>
      <c r="Y103" s="8">
        <f t="shared" si="27"/>
        <v>73.555555555555557</v>
      </c>
      <c r="AC103" s="15">
        <f t="shared" si="28"/>
        <v>2.2204460492503131E-16</v>
      </c>
      <c r="AD103" s="20">
        <f t="shared" si="29"/>
        <v>2.1147105230955357E-16</v>
      </c>
      <c r="AE103" s="2"/>
      <c r="AF103" s="2"/>
      <c r="AG103" s="2"/>
      <c r="AH103" s="8">
        <f t="shared" si="30"/>
        <v>120.44444444444444</v>
      </c>
      <c r="AI103" s="5">
        <f t="shared" si="30"/>
        <v>-152.1827794561934</v>
      </c>
      <c r="AJ103" s="8">
        <f t="shared" si="30"/>
        <v>152.18277945619334</v>
      </c>
    </row>
    <row r="104" spans="2:36" x14ac:dyDescent="0.2">
      <c r="B104" s="26" t="s">
        <v>129</v>
      </c>
      <c r="C104" s="2">
        <v>6</v>
      </c>
      <c r="D104" s="2" t="s">
        <v>133</v>
      </c>
      <c r="E104" s="2"/>
      <c r="F104" s="2"/>
      <c r="G104" s="2"/>
      <c r="I104" s="4">
        <v>875</v>
      </c>
      <c r="J104" s="23">
        <v>643707.37</v>
      </c>
      <c r="K104" s="4">
        <v>23639</v>
      </c>
      <c r="M104" s="18">
        <f t="shared" si="24"/>
        <v>735.66556571428566</v>
      </c>
      <c r="N104" s="15">
        <f t="shared" si="25"/>
        <v>27.230736071745845</v>
      </c>
      <c r="O104" s="8">
        <f t="shared" si="26"/>
        <v>27.015999999999998</v>
      </c>
      <c r="Q104" s="9"/>
      <c r="S104" s="4">
        <v>88</v>
      </c>
      <c r="T104" s="23">
        <v>-10351.25</v>
      </c>
      <c r="U104" s="4">
        <v>1133</v>
      </c>
      <c r="W104" s="18">
        <f t="shared" si="31"/>
        <v>117.62784090909091</v>
      </c>
      <c r="X104" s="15">
        <f t="shared" si="32"/>
        <v>9.1361429832303624</v>
      </c>
      <c r="Y104" s="8">
        <f t="shared" si="27"/>
        <v>12.875</v>
      </c>
      <c r="AC104" s="15">
        <f t="shared" si="28"/>
        <v>18.094593088515481</v>
      </c>
      <c r="AD104" s="20">
        <f t="shared" si="29"/>
        <v>0.66449151579454102</v>
      </c>
      <c r="AE104" s="2"/>
      <c r="AF104" s="2"/>
      <c r="AG104" s="2"/>
      <c r="AH104" s="8">
        <f t="shared" si="30"/>
        <v>9.9431818181818183</v>
      </c>
      <c r="AI104" s="5">
        <f t="shared" si="30"/>
        <v>-62.186438352855937</v>
      </c>
      <c r="AJ104" s="8">
        <f t="shared" si="30"/>
        <v>20.864077669902912</v>
      </c>
    </row>
    <row r="105" spans="2:36" x14ac:dyDescent="0.2">
      <c r="B105" s="53" t="s">
        <v>129</v>
      </c>
      <c r="C105" s="54">
        <f>SUM(C95:C104)</f>
        <v>74</v>
      </c>
      <c r="D105" s="54"/>
      <c r="E105" s="54"/>
      <c r="F105" s="54"/>
      <c r="G105" s="54"/>
      <c r="I105" s="51">
        <f>SUM(I95:I104)</f>
        <v>61289</v>
      </c>
      <c r="J105" s="52">
        <f>SUM(J95:J104)</f>
        <v>29924987.558099978</v>
      </c>
      <c r="K105" s="51">
        <f>SUM(K95:K104)</f>
        <v>3912790</v>
      </c>
      <c r="M105" s="55">
        <f t="shared" si="24"/>
        <v>488.2603331446096</v>
      </c>
      <c r="N105" s="56">
        <f t="shared" si="25"/>
        <v>7.6479922403451193</v>
      </c>
      <c r="O105" s="57">
        <f t="shared" si="26"/>
        <v>63.841635530029862</v>
      </c>
      <c r="Q105" s="9"/>
      <c r="S105" s="51">
        <f>SUM(S95:S104)</f>
        <v>2556</v>
      </c>
      <c r="T105" s="52">
        <f>SUM(T95:T104)</f>
        <v>-166484.38980000009</v>
      </c>
      <c r="U105" s="51">
        <f>SUM(U95:U104)</f>
        <v>79965</v>
      </c>
      <c r="W105" s="55">
        <f t="shared" si="31"/>
        <v>65.134737793427263</v>
      </c>
      <c r="X105" s="56">
        <f t="shared" si="32"/>
        <v>2.0819657325079732</v>
      </c>
      <c r="Y105" s="57">
        <f t="shared" si="27"/>
        <v>31.285211267605632</v>
      </c>
      <c r="AC105" s="56">
        <f t="shared" si="28"/>
        <v>5.5660265078371456</v>
      </c>
      <c r="AD105" s="58">
        <f t="shared" si="29"/>
        <v>0.72777617091122682</v>
      </c>
      <c r="AE105" s="54"/>
      <c r="AF105" s="54"/>
      <c r="AG105" s="54"/>
      <c r="AH105" s="57">
        <f t="shared" si="30"/>
        <v>23.978482003129891</v>
      </c>
      <c r="AI105" s="59">
        <f t="shared" si="30"/>
        <v>-179.74650712928258</v>
      </c>
      <c r="AJ105" s="57">
        <f t="shared" si="30"/>
        <v>48.931282436065779</v>
      </c>
    </row>
    <row r="106" spans="2:36" x14ac:dyDescent="0.2">
      <c r="J106" s="25"/>
      <c r="Q106" s="9"/>
      <c r="T106" s="24"/>
      <c r="W106" s="17"/>
      <c r="AH106" s="14"/>
    </row>
    <row r="107" spans="2:36" x14ac:dyDescent="0.2">
      <c r="B107" s="26" t="s">
        <v>129</v>
      </c>
      <c r="C107" s="2">
        <v>20</v>
      </c>
      <c r="D107" s="2" t="s">
        <v>134</v>
      </c>
      <c r="E107" s="2"/>
      <c r="F107" s="2"/>
      <c r="G107" s="46" t="s">
        <v>127</v>
      </c>
      <c r="I107" s="4">
        <f>SUM(I16:I35)</f>
        <v>10564</v>
      </c>
      <c r="J107" s="23">
        <f>SUM(J16:J35)</f>
        <v>6154108.6300000008</v>
      </c>
      <c r="K107" s="4">
        <f>SUM(K16:K35)</f>
        <v>498902</v>
      </c>
      <c r="M107" s="18">
        <f>SUM(M16:M35)</f>
        <v>16213.533814029242</v>
      </c>
      <c r="N107" s="33">
        <f>SUM(N16:N35)</f>
        <v>449.53221709441033</v>
      </c>
      <c r="O107" s="8">
        <f>SUM(O16:O35)</f>
        <v>1150.132444381908</v>
      </c>
      <c r="Q107" s="9"/>
      <c r="S107" s="4">
        <f>SUM(S16:S35)</f>
        <v>613</v>
      </c>
      <c r="T107" s="23">
        <f>SUM(T16:T35)</f>
        <v>-51151.810000000027</v>
      </c>
      <c r="U107" s="4">
        <f>SUM(U16:U35)</f>
        <v>10102</v>
      </c>
      <c r="W107" s="18">
        <f>SUM(W16:W35)</f>
        <v>1736.372570047283</v>
      </c>
      <c r="X107" s="49">
        <f>SUM(X16:X35)</f>
        <v>571.38031665273286</v>
      </c>
      <c r="Y107" s="8">
        <f>SUM(Y16:Y35)</f>
        <v>98.502265617963275</v>
      </c>
      <c r="AC107" s="31">
        <f t="shared" ref="AC107:AC108" si="33">SUM(N107-X107)</f>
        <v>-121.84809955832253</v>
      </c>
      <c r="AD107" s="50">
        <f t="shared" ref="AD107:AD108" si="34">SUM(AC107/N107)</f>
        <v>-0.27105532134247923</v>
      </c>
      <c r="AH107" s="14"/>
    </row>
    <row r="108" spans="2:36" x14ac:dyDescent="0.2">
      <c r="B108" s="26" t="s">
        <v>129</v>
      </c>
      <c r="C108" s="2">
        <v>43</v>
      </c>
      <c r="D108" s="2" t="s">
        <v>134</v>
      </c>
      <c r="E108" s="2"/>
      <c r="F108" s="2"/>
      <c r="G108" s="47" t="s">
        <v>128</v>
      </c>
      <c r="I108" s="4">
        <f>SUM(I36:I89)</f>
        <v>50725</v>
      </c>
      <c r="J108" s="23">
        <f>SUM(J36:J89)</f>
        <v>23770878.928099975</v>
      </c>
      <c r="K108" s="4">
        <f>SUM(K36:K89)</f>
        <v>3413888</v>
      </c>
      <c r="M108" s="18">
        <f>SUM(M36:M89)</f>
        <v>42084.61164095295</v>
      </c>
      <c r="N108" s="15">
        <f>SUM(N36:N89)</f>
        <v>1621.642425127267</v>
      </c>
      <c r="O108" s="8">
        <f>SUM(O36:O89)</f>
        <v>2837.167411921208</v>
      </c>
      <c r="Q108" s="9"/>
      <c r="S108" s="4">
        <f>SUM(S36:S89)</f>
        <v>1943</v>
      </c>
      <c r="T108" s="23">
        <f>SUM(T36:T89)</f>
        <v>-115332.57980000009</v>
      </c>
      <c r="U108" s="4">
        <f>SUM(U36:U89)</f>
        <v>69863</v>
      </c>
      <c r="W108" s="18">
        <f>SUM(W36:W89)</f>
        <v>4555.4488427425495</v>
      </c>
      <c r="X108" s="15">
        <f>SUM(X36:X89)</f>
        <v>587.87766989633292</v>
      </c>
      <c r="Y108" s="8">
        <f>SUM(Y36:Y89)</f>
        <v>599.36008208475653</v>
      </c>
      <c r="AC108" s="15">
        <f t="shared" si="33"/>
        <v>1033.764755230934</v>
      </c>
      <c r="AD108" s="20">
        <f t="shared" si="34"/>
        <v>0.63748008760303854</v>
      </c>
      <c r="AH108" s="14"/>
    </row>
    <row r="109" spans="2:36" x14ac:dyDescent="0.2">
      <c r="T109" s="17"/>
      <c r="W109" s="17"/>
      <c r="AH109" s="14"/>
    </row>
    <row r="110" spans="2:36" x14ac:dyDescent="0.2">
      <c r="T110" s="17"/>
      <c r="W110" s="17"/>
      <c r="AH110" s="14"/>
    </row>
    <row r="111" spans="2:36" x14ac:dyDescent="0.2">
      <c r="T111" s="17"/>
      <c r="W111" s="17"/>
      <c r="AH111" s="14"/>
    </row>
    <row r="112" spans="2:36" x14ac:dyDescent="0.2">
      <c r="T112" s="17"/>
      <c r="W112" s="17"/>
      <c r="AH112" s="14"/>
    </row>
    <row r="113" spans="20:34" x14ac:dyDescent="0.2">
      <c r="T113" s="17"/>
      <c r="W113" s="17"/>
      <c r="AH113" s="14"/>
    </row>
    <row r="114" spans="20:34" x14ac:dyDescent="0.2">
      <c r="T114" s="17"/>
      <c r="W114" s="17"/>
      <c r="AH114" s="14"/>
    </row>
    <row r="115" spans="20:34" x14ac:dyDescent="0.2">
      <c r="T115" s="17"/>
      <c r="W115" s="17"/>
      <c r="AH115" s="14"/>
    </row>
    <row r="116" spans="20:34" x14ac:dyDescent="0.2">
      <c r="T116" s="17"/>
      <c r="W116" s="17"/>
      <c r="AH116" s="14"/>
    </row>
    <row r="119" spans="20:34" x14ac:dyDescent="0.2">
      <c r="T119" s="17"/>
      <c r="W119" s="17"/>
    </row>
    <row r="120" spans="20:34" x14ac:dyDescent="0.2">
      <c r="T120" s="17"/>
      <c r="W120" s="17"/>
    </row>
    <row r="121" spans="20:34" x14ac:dyDescent="0.2">
      <c r="T121" s="17"/>
      <c r="W121" s="17"/>
    </row>
    <row r="122" spans="20:34" x14ac:dyDescent="0.2">
      <c r="T122" s="17"/>
      <c r="W122" s="17"/>
    </row>
    <row r="123" spans="20:34" x14ac:dyDescent="0.2">
      <c r="T123" s="17"/>
      <c r="W123" s="17"/>
    </row>
    <row r="124" spans="20:34" x14ac:dyDescent="0.2">
      <c r="T124" s="17"/>
      <c r="W124" s="17"/>
    </row>
    <row r="125" spans="20:34" x14ac:dyDescent="0.2">
      <c r="T125" s="17"/>
      <c r="W125" s="17"/>
    </row>
    <row r="126" spans="20:34" x14ac:dyDescent="0.2">
      <c r="T126" s="17"/>
      <c r="W126" s="17"/>
    </row>
    <row r="127" spans="20:34" x14ac:dyDescent="0.2">
      <c r="T127" s="17"/>
      <c r="W127" s="17"/>
    </row>
  </sheetData>
  <sortState ref="B16:AJ89">
    <sortCondition ref="AD16:AD89"/>
  </sortState>
  <mergeCells count="65">
    <mergeCell ref="X11:Y11"/>
    <mergeCell ref="X3:Y7"/>
    <mergeCell ref="AC3:AC7"/>
    <mergeCell ref="AD3:AD7"/>
    <mergeCell ref="AE3:AE7"/>
    <mergeCell ref="AH3:AH7"/>
    <mergeCell ref="AI3:AI7"/>
    <mergeCell ref="AJ3:AJ7"/>
    <mergeCell ref="X9:Y9"/>
    <mergeCell ref="X10:Y10"/>
    <mergeCell ref="AF3:AF7"/>
    <mergeCell ref="AG3:AG7"/>
    <mergeCell ref="X12:Y12"/>
    <mergeCell ref="B14:B15"/>
    <mergeCell ref="C14:C15"/>
    <mergeCell ref="D14:D15"/>
    <mergeCell ref="E14:E15"/>
    <mergeCell ref="F14:F15"/>
    <mergeCell ref="G14:G15"/>
    <mergeCell ref="I14:I15"/>
    <mergeCell ref="J14:J15"/>
    <mergeCell ref="K14:K15"/>
    <mergeCell ref="AE14:AE15"/>
    <mergeCell ref="M14:M15"/>
    <mergeCell ref="N14:N15"/>
    <mergeCell ref="O14:O15"/>
    <mergeCell ref="S14:S15"/>
    <mergeCell ref="T14:T15"/>
    <mergeCell ref="U14:U15"/>
    <mergeCell ref="W14:W15"/>
    <mergeCell ref="X14:X15"/>
    <mergeCell ref="Y14:Y15"/>
    <mergeCell ref="AC14:AC15"/>
    <mergeCell ref="AD14:AD15"/>
    <mergeCell ref="B93:B94"/>
    <mergeCell ref="C93:C94"/>
    <mergeCell ref="D93:D94"/>
    <mergeCell ref="E93:E94"/>
    <mergeCell ref="F93:F94"/>
    <mergeCell ref="AF14:AF15"/>
    <mergeCell ref="AG14:AG15"/>
    <mergeCell ref="AH14:AH15"/>
    <mergeCell ref="AI14:AI15"/>
    <mergeCell ref="AJ14:AJ15"/>
    <mergeCell ref="X93:X94"/>
    <mergeCell ref="G93:G94"/>
    <mergeCell ref="I93:I94"/>
    <mergeCell ref="J93:J94"/>
    <mergeCell ref="K93:K94"/>
    <mergeCell ref="M93:M94"/>
    <mergeCell ref="N93:N94"/>
    <mergeCell ref="O93:O94"/>
    <mergeCell ref="S93:S94"/>
    <mergeCell ref="T93:T94"/>
    <mergeCell ref="U93:U94"/>
    <mergeCell ref="W93:W94"/>
    <mergeCell ref="AH93:AH94"/>
    <mergeCell ref="AI93:AI94"/>
    <mergeCell ref="AJ93:AJ94"/>
    <mergeCell ref="Y93:Y94"/>
    <mergeCell ref="AC93:AC94"/>
    <mergeCell ref="AD93:AD94"/>
    <mergeCell ref="AE93:AE94"/>
    <mergeCell ref="AF93:AF94"/>
    <mergeCell ref="AG93:AG94"/>
  </mergeCells>
  <printOptions horizontalCentered="1" verticalCentered="1"/>
  <pageMargins left="0" right="0" top="0" bottom="0" header="0.3" footer="0.3"/>
  <pageSetup scale="3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S130"/>
  <sheetViews>
    <sheetView topLeftCell="R74" workbookViewId="0">
      <selection activeCell="AF107" sqref="AF107:AG117"/>
    </sheetView>
  </sheetViews>
  <sheetFormatPr defaultColWidth="10.875" defaultRowHeight="12" x14ac:dyDescent="0.2"/>
  <cols>
    <col min="1" max="1" width="10.875" style="3"/>
    <col min="2" max="2" width="53.25" style="3" bestFit="1" customWidth="1"/>
    <col min="3" max="3" width="7" style="3" bestFit="1" customWidth="1"/>
    <col min="4" max="6" width="7" style="3" customWidth="1"/>
    <col min="7" max="7" width="11.625" style="3" bestFit="1" customWidth="1"/>
    <col min="8" max="8" width="2.625" style="3" customWidth="1"/>
    <col min="9" max="9" width="14.875" style="3" bestFit="1" customWidth="1"/>
    <col min="10" max="10" width="10.875" style="3" bestFit="1" customWidth="1"/>
    <col min="11" max="11" width="13.375" style="3" customWidth="1"/>
    <col min="12" max="12" width="1.625" style="3" customWidth="1"/>
    <col min="13" max="15" width="12.625" style="3" customWidth="1"/>
    <col min="16" max="16" width="1.625" style="3" customWidth="1"/>
    <col min="17" max="17" width="0.5" style="3" customWidth="1"/>
    <col min="18" max="18" width="1.625" style="3" customWidth="1"/>
    <col min="19" max="19" width="13.25" style="3" bestFit="1" customWidth="1"/>
    <col min="20" max="20" width="9.25" style="3" bestFit="1" customWidth="1"/>
    <col min="21" max="21" width="11.625" style="3" customWidth="1"/>
    <col min="22" max="22" width="1.625" style="3" customWidth="1"/>
    <col min="23" max="25" width="12.625" style="3" customWidth="1"/>
    <col min="26" max="28" width="1.625" style="3" customWidth="1"/>
    <col min="29" max="36" width="13.625" style="3" customWidth="1"/>
    <col min="37" max="16384" width="10.875" style="3"/>
  </cols>
  <sheetData>
    <row r="3" spans="1:36" x14ac:dyDescent="0.2">
      <c r="X3" s="66" t="s">
        <v>130</v>
      </c>
      <c r="Y3" s="66"/>
      <c r="AC3" s="64" t="s">
        <v>131</v>
      </c>
      <c r="AD3" s="64" t="s">
        <v>132</v>
      </c>
      <c r="AE3" s="64" t="s">
        <v>93</v>
      </c>
      <c r="AF3" s="64" t="s">
        <v>95</v>
      </c>
      <c r="AG3" s="64" t="s">
        <v>97</v>
      </c>
      <c r="AH3" s="64" t="s">
        <v>98</v>
      </c>
      <c r="AI3" s="64" t="s">
        <v>99</v>
      </c>
      <c r="AJ3" s="64" t="s">
        <v>100</v>
      </c>
    </row>
    <row r="4" spans="1:36" x14ac:dyDescent="0.2">
      <c r="X4" s="66"/>
      <c r="Y4" s="66"/>
      <c r="AC4" s="64"/>
      <c r="AD4" s="64"/>
      <c r="AE4" s="64"/>
      <c r="AF4" s="64"/>
      <c r="AG4" s="64"/>
      <c r="AH4" s="64"/>
      <c r="AI4" s="64"/>
      <c r="AJ4" s="64"/>
    </row>
    <row r="5" spans="1:36" x14ac:dyDescent="0.2">
      <c r="X5" s="66"/>
      <c r="Y5" s="66"/>
      <c r="AC5" s="64"/>
      <c r="AD5" s="64"/>
      <c r="AE5" s="64"/>
      <c r="AF5" s="64"/>
      <c r="AG5" s="64"/>
      <c r="AH5" s="64"/>
      <c r="AI5" s="64"/>
      <c r="AJ5" s="64"/>
    </row>
    <row r="6" spans="1:36" x14ac:dyDescent="0.2">
      <c r="X6" s="66"/>
      <c r="Y6" s="66"/>
      <c r="AC6" s="64"/>
      <c r="AD6" s="64"/>
      <c r="AE6" s="64"/>
      <c r="AF6" s="64"/>
      <c r="AG6" s="64"/>
      <c r="AH6" s="64"/>
      <c r="AI6" s="64"/>
      <c r="AJ6" s="64"/>
    </row>
    <row r="7" spans="1:36" x14ac:dyDescent="0.2">
      <c r="X7" s="66"/>
      <c r="Y7" s="66"/>
      <c r="AC7" s="64"/>
      <c r="AD7" s="64"/>
      <c r="AE7" s="64"/>
      <c r="AF7" s="64"/>
      <c r="AG7" s="64"/>
      <c r="AH7" s="64"/>
      <c r="AI7" s="64"/>
      <c r="AJ7" s="64"/>
    </row>
    <row r="8" spans="1:36" x14ac:dyDescent="0.2">
      <c r="AE8" s="11"/>
      <c r="AF8" s="11"/>
      <c r="AG8" s="11"/>
      <c r="AH8" s="11"/>
      <c r="AI8" s="11"/>
      <c r="AJ8" s="11"/>
    </row>
    <row r="9" spans="1:36" ht="14.25" customHeight="1" x14ac:dyDescent="0.2">
      <c r="X9" s="65" t="s">
        <v>106</v>
      </c>
      <c r="Y9" s="65"/>
      <c r="AC9" s="12" t="s">
        <v>103</v>
      </c>
      <c r="AD9" s="12" t="s">
        <v>103</v>
      </c>
      <c r="AE9" s="12" t="s">
        <v>101</v>
      </c>
      <c r="AF9" s="12" t="s">
        <v>101</v>
      </c>
      <c r="AG9" s="12" t="s">
        <v>101</v>
      </c>
      <c r="AH9" s="12" t="s">
        <v>103</v>
      </c>
      <c r="AI9" s="12" t="s">
        <v>103</v>
      </c>
      <c r="AJ9" s="12" t="s">
        <v>103</v>
      </c>
    </row>
    <row r="10" spans="1:36" ht="14.25" customHeight="1" x14ac:dyDescent="0.2">
      <c r="X10" s="63" t="s">
        <v>105</v>
      </c>
      <c r="Y10" s="63"/>
      <c r="AC10" s="13" t="s">
        <v>101</v>
      </c>
      <c r="AD10" s="13" t="s">
        <v>101</v>
      </c>
      <c r="AE10" s="13" t="s">
        <v>102</v>
      </c>
      <c r="AF10" s="13" t="s">
        <v>102</v>
      </c>
      <c r="AG10" s="13" t="s">
        <v>102</v>
      </c>
      <c r="AH10" s="13" t="s">
        <v>101</v>
      </c>
      <c r="AI10" s="13" t="s">
        <v>101</v>
      </c>
      <c r="AJ10" s="13" t="s">
        <v>101</v>
      </c>
    </row>
    <row r="11" spans="1:36" ht="14.25" customHeight="1" x14ac:dyDescent="0.2">
      <c r="X11" s="63" t="s">
        <v>104</v>
      </c>
      <c r="Y11" s="63"/>
      <c r="AC11" s="13" t="s">
        <v>102</v>
      </c>
      <c r="AD11" s="13" t="s">
        <v>102</v>
      </c>
      <c r="AE11" s="13" t="s">
        <v>108</v>
      </c>
      <c r="AF11" s="13" t="s">
        <v>108</v>
      </c>
      <c r="AG11" s="13" t="s">
        <v>108</v>
      </c>
      <c r="AH11" s="13" t="s">
        <v>102</v>
      </c>
      <c r="AI11" s="13" t="s">
        <v>102</v>
      </c>
      <c r="AJ11" s="13" t="s">
        <v>102</v>
      </c>
    </row>
    <row r="12" spans="1:36" ht="14.25" customHeight="1" x14ac:dyDescent="0.2">
      <c r="X12" s="63" t="s">
        <v>107</v>
      </c>
      <c r="Y12" s="63"/>
      <c r="AC12" s="13" t="s">
        <v>110</v>
      </c>
      <c r="AD12" s="13" t="s">
        <v>110</v>
      </c>
      <c r="AE12" s="13" t="s">
        <v>109</v>
      </c>
      <c r="AF12" s="13" t="s">
        <v>109</v>
      </c>
      <c r="AG12" s="13" t="s">
        <v>109</v>
      </c>
      <c r="AH12" s="13" t="s">
        <v>110</v>
      </c>
      <c r="AI12" s="13" t="s">
        <v>110</v>
      </c>
      <c r="AJ12" s="13" t="s">
        <v>110</v>
      </c>
    </row>
    <row r="14" spans="1:36" s="1" customFormat="1" ht="12" customHeight="1" x14ac:dyDescent="0.2">
      <c r="B14" s="62" t="s">
        <v>73</v>
      </c>
      <c r="C14" s="62" t="s">
        <v>74</v>
      </c>
      <c r="D14" s="62" t="s">
        <v>115</v>
      </c>
      <c r="E14" s="62" t="s">
        <v>116</v>
      </c>
      <c r="F14" s="62" t="s">
        <v>117</v>
      </c>
      <c r="G14" s="62" t="s">
        <v>75</v>
      </c>
      <c r="I14" s="62" t="s">
        <v>76</v>
      </c>
      <c r="J14" s="62" t="s">
        <v>77</v>
      </c>
      <c r="K14" s="62" t="s">
        <v>78</v>
      </c>
      <c r="L14" s="6"/>
      <c r="M14" s="62" t="s">
        <v>83</v>
      </c>
      <c r="N14" s="62" t="s">
        <v>84</v>
      </c>
      <c r="O14" s="62" t="s">
        <v>85</v>
      </c>
      <c r="Q14" s="9"/>
      <c r="S14" s="62" t="s">
        <v>79</v>
      </c>
      <c r="T14" s="62" t="s">
        <v>80</v>
      </c>
      <c r="U14" s="62" t="s">
        <v>81</v>
      </c>
      <c r="W14" s="62" t="s">
        <v>86</v>
      </c>
      <c r="X14" s="62" t="s">
        <v>87</v>
      </c>
      <c r="Y14" s="62" t="s">
        <v>88</v>
      </c>
      <c r="AC14" s="62" t="s">
        <v>111</v>
      </c>
      <c r="AD14" s="62" t="s">
        <v>112</v>
      </c>
      <c r="AE14" s="62" t="s">
        <v>92</v>
      </c>
      <c r="AF14" s="62" t="s">
        <v>94</v>
      </c>
      <c r="AG14" s="62" t="s">
        <v>96</v>
      </c>
      <c r="AH14" s="62" t="s">
        <v>89</v>
      </c>
      <c r="AI14" s="62" t="s">
        <v>90</v>
      </c>
      <c r="AJ14" s="62" t="s">
        <v>91</v>
      </c>
    </row>
    <row r="15" spans="1:36" s="1" customFormat="1" x14ac:dyDescent="0.2">
      <c r="B15" s="62"/>
      <c r="C15" s="62"/>
      <c r="D15" s="62"/>
      <c r="E15" s="62"/>
      <c r="F15" s="62"/>
      <c r="G15" s="62"/>
      <c r="I15" s="62"/>
      <c r="J15" s="62"/>
      <c r="K15" s="62"/>
      <c r="L15" s="6"/>
      <c r="M15" s="62"/>
      <c r="N15" s="62"/>
      <c r="O15" s="62"/>
      <c r="Q15" s="9"/>
      <c r="S15" s="62"/>
      <c r="T15" s="62"/>
      <c r="U15" s="62"/>
      <c r="W15" s="62"/>
      <c r="X15" s="62"/>
      <c r="Y15" s="62"/>
      <c r="AC15" s="62"/>
      <c r="AD15" s="62"/>
      <c r="AE15" s="62"/>
      <c r="AF15" s="62"/>
      <c r="AG15" s="62"/>
      <c r="AH15" s="62"/>
      <c r="AI15" s="62"/>
      <c r="AJ15" s="62"/>
    </row>
    <row r="16" spans="1:36" x14ac:dyDescent="0.2">
      <c r="A16" s="3">
        <v>1</v>
      </c>
      <c r="B16" s="19" t="s">
        <v>1</v>
      </c>
      <c r="C16" s="2">
        <v>11878</v>
      </c>
      <c r="D16" s="2" t="s">
        <v>119</v>
      </c>
      <c r="E16" s="2" t="s">
        <v>122</v>
      </c>
      <c r="F16" s="2" t="s">
        <v>113</v>
      </c>
      <c r="G16" s="2"/>
      <c r="I16" s="4">
        <v>285</v>
      </c>
      <c r="J16" s="23">
        <v>194770.19999999995</v>
      </c>
      <c r="K16" s="4">
        <v>8510</v>
      </c>
      <c r="L16" s="7"/>
      <c r="M16" s="18">
        <f t="shared" ref="M16:M47" si="0">SUM(J16/I16)</f>
        <v>683.40421052631564</v>
      </c>
      <c r="N16" s="15">
        <f t="shared" ref="N16:N47" si="1">SUM(J16/K16)</f>
        <v>22.88721504112808</v>
      </c>
      <c r="O16" s="8">
        <f t="shared" ref="O16:O47" si="2">SUM(K16/I16)</f>
        <v>29.859649122807017</v>
      </c>
      <c r="Q16" s="10"/>
      <c r="S16" s="4">
        <v>9</v>
      </c>
      <c r="T16" s="23">
        <v>-558.25</v>
      </c>
      <c r="U16" s="4">
        <v>50</v>
      </c>
      <c r="W16" s="18">
        <f t="shared" ref="W16:W30" si="3">SUM(T16/S16)*-1</f>
        <v>62.027777777777779</v>
      </c>
      <c r="X16" s="15">
        <f>SUM(T16/U16)*-1</f>
        <v>11.164999999999999</v>
      </c>
      <c r="Y16" s="8">
        <f>SUM(U16/S16)</f>
        <v>5.5555555555555554</v>
      </c>
      <c r="AC16" s="15">
        <f t="shared" ref="AC16:AC47" si="4">SUM(N16-X16)</f>
        <v>11.722215041128081</v>
      </c>
      <c r="AD16" s="20">
        <f t="shared" ref="AD16:AD47" si="5">SUM(AC16/N16)</f>
        <v>0.51217306343578217</v>
      </c>
      <c r="AE16" s="2"/>
      <c r="AF16" s="2"/>
      <c r="AG16" s="2"/>
      <c r="AH16" s="8">
        <f>SUM(I16/S16)</f>
        <v>31.666666666666668</v>
      </c>
      <c r="AI16" s="5">
        <f>SUM(J16/T16)</f>
        <v>-348.89422301836089</v>
      </c>
      <c r="AJ16" s="8">
        <f>SUM(K16/U16)</f>
        <v>170.2</v>
      </c>
    </row>
    <row r="17" spans="1:36" x14ac:dyDescent="0.2">
      <c r="A17" s="3">
        <v>2</v>
      </c>
      <c r="B17" s="19" t="s">
        <v>44</v>
      </c>
      <c r="C17" s="2">
        <v>19073</v>
      </c>
      <c r="D17" s="2" t="s">
        <v>119</v>
      </c>
      <c r="E17" s="2" t="s">
        <v>122</v>
      </c>
      <c r="F17" s="2" t="s">
        <v>113</v>
      </c>
      <c r="G17" s="2"/>
      <c r="I17" s="4">
        <v>160</v>
      </c>
      <c r="J17" s="23">
        <v>106404.06000000003</v>
      </c>
      <c r="K17" s="4">
        <v>5323</v>
      </c>
      <c r="L17" s="7"/>
      <c r="M17" s="18">
        <f t="shared" si="0"/>
        <v>665.02537500000017</v>
      </c>
      <c r="N17" s="15">
        <f t="shared" si="1"/>
        <v>19.989490888596659</v>
      </c>
      <c r="O17" s="8">
        <f t="shared" si="2"/>
        <v>33.268749999999997</v>
      </c>
      <c r="Q17" s="10"/>
      <c r="S17" s="4">
        <v>2</v>
      </c>
      <c r="T17" s="23">
        <v>-47.099999999999994</v>
      </c>
      <c r="U17" s="4">
        <v>0</v>
      </c>
      <c r="W17" s="18">
        <f t="shared" si="3"/>
        <v>23.549999999999997</v>
      </c>
      <c r="X17" s="15"/>
      <c r="Y17" s="8"/>
      <c r="AC17" s="15">
        <f t="shared" si="4"/>
        <v>19.989490888596659</v>
      </c>
      <c r="AD17" s="20">
        <f t="shared" si="5"/>
        <v>1</v>
      </c>
      <c r="AE17" s="2"/>
      <c r="AF17" s="2"/>
      <c r="AG17" s="2"/>
      <c r="AH17" s="8">
        <f t="shared" ref="AH17:AH30" si="6">SUM(I17/S17)</f>
        <v>80</v>
      </c>
      <c r="AI17" s="5">
        <f t="shared" ref="AI17:AI30" si="7">SUM(J17/T17)</f>
        <v>-2259.1095541401282</v>
      </c>
      <c r="AJ17" s="8"/>
    </row>
    <row r="18" spans="1:36" x14ac:dyDescent="0.2">
      <c r="A18" s="3">
        <v>3</v>
      </c>
      <c r="B18" s="19" t="s">
        <v>23</v>
      </c>
      <c r="C18" s="2">
        <v>12206</v>
      </c>
      <c r="D18" s="2" t="s">
        <v>119</v>
      </c>
      <c r="E18" s="2" t="s">
        <v>122</v>
      </c>
      <c r="F18" s="2" t="s">
        <v>113</v>
      </c>
      <c r="G18" s="2"/>
      <c r="I18" s="4">
        <v>3135</v>
      </c>
      <c r="J18" s="23">
        <v>917495.02999999456</v>
      </c>
      <c r="K18" s="4">
        <v>25811</v>
      </c>
      <c r="L18" s="7"/>
      <c r="M18" s="18">
        <f t="shared" si="0"/>
        <v>292.66189154704773</v>
      </c>
      <c r="N18" s="15">
        <f t="shared" si="1"/>
        <v>35.546667312385978</v>
      </c>
      <c r="O18" s="8">
        <f t="shared" si="2"/>
        <v>8.2331738437001594</v>
      </c>
      <c r="Q18" s="10"/>
      <c r="S18" s="4">
        <v>5</v>
      </c>
      <c r="T18" s="23">
        <v>-183.38</v>
      </c>
      <c r="U18" s="4">
        <v>8</v>
      </c>
      <c r="W18" s="18">
        <f t="shared" si="3"/>
        <v>36.676000000000002</v>
      </c>
      <c r="X18" s="15">
        <f t="shared" ref="X18:X30" si="8">SUM(T18/U18)*-1</f>
        <v>22.922499999999999</v>
      </c>
      <c r="Y18" s="8">
        <f t="shared" ref="Y18:Y30" si="9">SUM(U18/S18)</f>
        <v>1.6</v>
      </c>
      <c r="AC18" s="15">
        <f t="shared" si="4"/>
        <v>12.624167312385978</v>
      </c>
      <c r="AD18" s="20">
        <f t="shared" si="5"/>
        <v>0.35514348508241667</v>
      </c>
      <c r="AE18" s="2"/>
      <c r="AF18" s="2"/>
      <c r="AG18" s="2"/>
      <c r="AH18" s="8">
        <f t="shared" si="6"/>
        <v>627</v>
      </c>
      <c r="AI18" s="5">
        <f t="shared" si="7"/>
        <v>-5003.2447922346746</v>
      </c>
      <c r="AJ18" s="8">
        <f t="shared" ref="AJ18:AJ30" si="10">SUM(K18/U18)</f>
        <v>3226.375</v>
      </c>
    </row>
    <row r="19" spans="1:36" x14ac:dyDescent="0.2">
      <c r="A19" s="3">
        <v>4</v>
      </c>
      <c r="B19" s="19" t="s">
        <v>20</v>
      </c>
      <c r="C19" s="2">
        <v>12109</v>
      </c>
      <c r="D19" s="2" t="s">
        <v>119</v>
      </c>
      <c r="E19" s="2" t="s">
        <v>122</v>
      </c>
      <c r="F19" s="2" t="s">
        <v>113</v>
      </c>
      <c r="G19" s="2"/>
      <c r="I19" s="4">
        <v>202</v>
      </c>
      <c r="J19" s="23">
        <v>81699.799999999959</v>
      </c>
      <c r="K19" s="4">
        <v>3830</v>
      </c>
      <c r="L19" s="7"/>
      <c r="M19" s="18">
        <f t="shared" si="0"/>
        <v>404.45445544554434</v>
      </c>
      <c r="N19" s="15">
        <f t="shared" si="1"/>
        <v>21.331540469973881</v>
      </c>
      <c r="O19" s="8">
        <f t="shared" si="2"/>
        <v>18.96039603960396</v>
      </c>
      <c r="Q19" s="10"/>
      <c r="S19" s="4">
        <v>2</v>
      </c>
      <c r="T19" s="23">
        <v>-105.8</v>
      </c>
      <c r="U19" s="4">
        <v>6</v>
      </c>
      <c r="W19" s="18">
        <f t="shared" si="3"/>
        <v>52.9</v>
      </c>
      <c r="X19" s="15">
        <f t="shared" si="8"/>
        <v>17.633333333333333</v>
      </c>
      <c r="Y19" s="8">
        <f t="shared" si="9"/>
        <v>3</v>
      </c>
      <c r="AC19" s="15">
        <f t="shared" si="4"/>
        <v>3.6982071366405478</v>
      </c>
      <c r="AD19" s="20">
        <f t="shared" si="5"/>
        <v>0.17336802946070007</v>
      </c>
      <c r="AE19" s="2"/>
      <c r="AF19" s="2"/>
      <c r="AG19" s="2"/>
      <c r="AH19" s="8">
        <f t="shared" si="6"/>
        <v>101</v>
      </c>
      <c r="AI19" s="5">
        <f t="shared" si="7"/>
        <v>-772.20982986767444</v>
      </c>
      <c r="AJ19" s="8">
        <f t="shared" si="10"/>
        <v>638.33333333333337</v>
      </c>
    </row>
    <row r="20" spans="1:36" x14ac:dyDescent="0.2">
      <c r="A20" s="3">
        <v>5</v>
      </c>
      <c r="B20" s="19" t="s">
        <v>3</v>
      </c>
      <c r="C20" s="2">
        <v>11890</v>
      </c>
      <c r="D20" s="2" t="s">
        <v>119</v>
      </c>
      <c r="E20" s="2" t="s">
        <v>122</v>
      </c>
      <c r="F20" s="2" t="s">
        <v>113</v>
      </c>
      <c r="G20" s="2"/>
      <c r="I20" s="4">
        <v>211</v>
      </c>
      <c r="J20" s="23">
        <v>102382.77000000006</v>
      </c>
      <c r="K20" s="4">
        <v>4987</v>
      </c>
      <c r="L20" s="7"/>
      <c r="M20" s="18">
        <f t="shared" si="0"/>
        <v>485.22639810426568</v>
      </c>
      <c r="N20" s="15">
        <f t="shared" si="1"/>
        <v>20.529931822739133</v>
      </c>
      <c r="O20" s="8">
        <f t="shared" si="2"/>
        <v>23.635071090047393</v>
      </c>
      <c r="Q20" s="10"/>
      <c r="S20" s="4">
        <v>2</v>
      </c>
      <c r="T20" s="23">
        <v>-56.400000000000006</v>
      </c>
      <c r="U20" s="4">
        <v>3</v>
      </c>
      <c r="W20" s="18">
        <f t="shared" si="3"/>
        <v>28.200000000000003</v>
      </c>
      <c r="X20" s="15">
        <f t="shared" si="8"/>
        <v>18.8</v>
      </c>
      <c r="Y20" s="8">
        <f t="shared" si="9"/>
        <v>1.5</v>
      </c>
      <c r="AC20" s="15">
        <f t="shared" si="4"/>
        <v>1.7299318227391325</v>
      </c>
      <c r="AD20" s="20">
        <f t="shared" si="5"/>
        <v>8.4263885417439371E-2</v>
      </c>
      <c r="AE20" s="2"/>
      <c r="AF20" s="2"/>
      <c r="AG20" s="2"/>
      <c r="AH20" s="8">
        <f t="shared" si="6"/>
        <v>105.5</v>
      </c>
      <c r="AI20" s="5">
        <f t="shared" si="7"/>
        <v>-1815.2973404255329</v>
      </c>
      <c r="AJ20" s="8">
        <f t="shared" si="10"/>
        <v>1662.3333333333333</v>
      </c>
    </row>
    <row r="21" spans="1:36" x14ac:dyDescent="0.2">
      <c r="A21" s="3">
        <v>6</v>
      </c>
      <c r="B21" s="19" t="s">
        <v>18</v>
      </c>
      <c r="C21" s="2">
        <v>12092</v>
      </c>
      <c r="D21" s="2" t="s">
        <v>119</v>
      </c>
      <c r="E21" s="2" t="s">
        <v>122</v>
      </c>
      <c r="F21" s="2" t="s">
        <v>113</v>
      </c>
      <c r="G21" s="2"/>
      <c r="I21" s="4">
        <v>393</v>
      </c>
      <c r="J21" s="23">
        <v>207850.50000000006</v>
      </c>
      <c r="K21" s="4">
        <v>9973</v>
      </c>
      <c r="L21" s="7"/>
      <c r="M21" s="18">
        <f t="shared" si="0"/>
        <v>528.88167938931315</v>
      </c>
      <c r="N21" s="15">
        <f t="shared" si="1"/>
        <v>20.841321568234239</v>
      </c>
      <c r="O21" s="8">
        <f t="shared" si="2"/>
        <v>25.376590330788805</v>
      </c>
      <c r="Q21" s="10"/>
      <c r="S21" s="4">
        <v>18</v>
      </c>
      <c r="T21" s="23">
        <v>-4846.5499999999993</v>
      </c>
      <c r="U21" s="4">
        <v>243</v>
      </c>
      <c r="W21" s="18">
        <f t="shared" si="3"/>
        <v>269.25277777777774</v>
      </c>
      <c r="X21" s="15">
        <f t="shared" si="8"/>
        <v>19.944650205761313</v>
      </c>
      <c r="Y21" s="8">
        <f t="shared" si="9"/>
        <v>13.5</v>
      </c>
      <c r="AC21" s="15">
        <f t="shared" si="4"/>
        <v>0.89667136247292589</v>
      </c>
      <c r="AD21" s="20">
        <f t="shared" si="5"/>
        <v>4.3023728583489032E-2</v>
      </c>
      <c r="AE21" s="2"/>
      <c r="AF21" s="2"/>
      <c r="AG21" s="2"/>
      <c r="AH21" s="8">
        <f t="shared" si="6"/>
        <v>21.833333333333332</v>
      </c>
      <c r="AI21" s="5">
        <f t="shared" si="7"/>
        <v>-42.886279931085014</v>
      </c>
      <c r="AJ21" s="8">
        <f t="shared" si="10"/>
        <v>41.041152263374485</v>
      </c>
    </row>
    <row r="22" spans="1:36" x14ac:dyDescent="0.2">
      <c r="A22" s="3">
        <v>7</v>
      </c>
      <c r="B22" s="19" t="s">
        <v>19</v>
      </c>
      <c r="C22" s="2">
        <v>12108</v>
      </c>
      <c r="D22" s="2" t="s">
        <v>119</v>
      </c>
      <c r="E22" s="2" t="s">
        <v>122</v>
      </c>
      <c r="F22" s="2" t="s">
        <v>113</v>
      </c>
      <c r="G22" s="2"/>
      <c r="I22" s="4">
        <v>375</v>
      </c>
      <c r="J22" s="23">
        <v>164351.90000000017</v>
      </c>
      <c r="K22" s="4">
        <v>8411</v>
      </c>
      <c r="L22" s="7"/>
      <c r="M22" s="18">
        <f t="shared" si="0"/>
        <v>438.27173333333377</v>
      </c>
      <c r="N22" s="15">
        <f t="shared" si="1"/>
        <v>19.540114136250168</v>
      </c>
      <c r="O22" s="8">
        <f t="shared" si="2"/>
        <v>22.429333333333332</v>
      </c>
      <c r="Q22" s="10"/>
      <c r="S22" s="4">
        <v>7</v>
      </c>
      <c r="T22" s="23">
        <v>-1664.2</v>
      </c>
      <c r="U22" s="4">
        <v>99</v>
      </c>
      <c r="W22" s="18">
        <f t="shared" si="3"/>
        <v>237.74285714285716</v>
      </c>
      <c r="X22" s="15">
        <f t="shared" si="8"/>
        <v>16.810101010101011</v>
      </c>
      <c r="Y22" s="8">
        <f t="shared" si="9"/>
        <v>14.142857142857142</v>
      </c>
      <c r="AC22" s="15">
        <f t="shared" si="4"/>
        <v>2.7300131261491565</v>
      </c>
      <c r="AD22" s="20">
        <f t="shared" si="5"/>
        <v>0.13971326406351575</v>
      </c>
      <c r="AE22" s="2"/>
      <c r="AF22" s="2"/>
      <c r="AG22" s="2"/>
      <c r="AH22" s="8">
        <f t="shared" si="6"/>
        <v>53.571428571428569</v>
      </c>
      <c r="AI22" s="5">
        <f t="shared" si="7"/>
        <v>-98.757300805191775</v>
      </c>
      <c r="AJ22" s="8">
        <f t="shared" si="10"/>
        <v>84.959595959595958</v>
      </c>
    </row>
    <row r="23" spans="1:36" x14ac:dyDescent="0.2">
      <c r="A23" s="3">
        <v>8</v>
      </c>
      <c r="B23" s="19" t="s">
        <v>37</v>
      </c>
      <c r="C23" s="2">
        <v>12572</v>
      </c>
      <c r="D23" s="2" t="s">
        <v>119</v>
      </c>
      <c r="E23" s="2" t="s">
        <v>122</v>
      </c>
      <c r="F23" s="2" t="s">
        <v>113</v>
      </c>
      <c r="G23" s="2"/>
      <c r="I23" s="4">
        <v>493</v>
      </c>
      <c r="J23" s="23">
        <v>216861.01000000015</v>
      </c>
      <c r="K23" s="4">
        <v>10453</v>
      </c>
      <c r="L23" s="7"/>
      <c r="M23" s="18">
        <f t="shared" si="0"/>
        <v>439.8803448275865</v>
      </c>
      <c r="N23" s="15">
        <f t="shared" si="1"/>
        <v>20.74629388692243</v>
      </c>
      <c r="O23" s="8">
        <f t="shared" si="2"/>
        <v>21.202839756592294</v>
      </c>
      <c r="Q23" s="10"/>
      <c r="S23" s="4">
        <v>3</v>
      </c>
      <c r="T23" s="23">
        <v>-693.35</v>
      </c>
      <c r="U23" s="4">
        <v>37</v>
      </c>
      <c r="W23" s="18">
        <f t="shared" si="3"/>
        <v>231.11666666666667</v>
      </c>
      <c r="X23" s="15">
        <f t="shared" si="8"/>
        <v>18.73918918918919</v>
      </c>
      <c r="Y23" s="8">
        <f t="shared" si="9"/>
        <v>12.333333333333334</v>
      </c>
      <c r="AC23" s="15">
        <f t="shared" si="4"/>
        <v>2.0071046977332401</v>
      </c>
      <c r="AD23" s="20">
        <f t="shared" si="5"/>
        <v>9.6745216696194222E-2</v>
      </c>
      <c r="AE23" s="2"/>
      <c r="AF23" s="2"/>
      <c r="AG23" s="2"/>
      <c r="AH23" s="8">
        <f t="shared" si="6"/>
        <v>164.33333333333334</v>
      </c>
      <c r="AI23" s="5">
        <f t="shared" si="7"/>
        <v>-312.77278430806973</v>
      </c>
      <c r="AJ23" s="8">
        <f t="shared" si="10"/>
        <v>282.51351351351349</v>
      </c>
    </row>
    <row r="24" spans="1:36" x14ac:dyDescent="0.2">
      <c r="A24" s="3">
        <v>9</v>
      </c>
      <c r="B24" s="19" t="s">
        <v>34</v>
      </c>
      <c r="C24" s="2">
        <v>12355</v>
      </c>
      <c r="D24" s="2" t="s">
        <v>119</v>
      </c>
      <c r="E24" s="2" t="s">
        <v>122</v>
      </c>
      <c r="F24" s="2" t="s">
        <v>113</v>
      </c>
      <c r="G24" s="2"/>
      <c r="I24" s="4">
        <v>73</v>
      </c>
      <c r="J24" s="23">
        <v>29885.65</v>
      </c>
      <c r="K24" s="4">
        <v>1332</v>
      </c>
      <c r="L24" s="7"/>
      <c r="M24" s="18">
        <f t="shared" si="0"/>
        <v>409.39246575342469</v>
      </c>
      <c r="N24" s="33">
        <f t="shared" si="1"/>
        <v>22.436674174174176</v>
      </c>
      <c r="O24" s="8">
        <f t="shared" si="2"/>
        <v>18.246575342465754</v>
      </c>
      <c r="Q24" s="10"/>
      <c r="S24" s="4">
        <v>1</v>
      </c>
      <c r="T24" s="23">
        <v>-61.99</v>
      </c>
      <c r="U24" s="4">
        <v>1</v>
      </c>
      <c r="W24" s="18">
        <f t="shared" si="3"/>
        <v>61.99</v>
      </c>
      <c r="X24" s="49">
        <f t="shared" si="8"/>
        <v>61.99</v>
      </c>
      <c r="Y24" s="8">
        <f t="shared" si="9"/>
        <v>1</v>
      </c>
      <c r="AC24" s="15">
        <f t="shared" si="4"/>
        <v>-39.553325825825823</v>
      </c>
      <c r="AD24" s="50">
        <f t="shared" si="5"/>
        <v>-1.7628872050632993</v>
      </c>
      <c r="AE24" s="2"/>
      <c r="AF24" s="2"/>
      <c r="AG24" s="2"/>
      <c r="AH24" s="8">
        <f t="shared" si="6"/>
        <v>73</v>
      </c>
      <c r="AI24" s="5">
        <f t="shared" si="7"/>
        <v>-482.10437167285045</v>
      </c>
      <c r="AJ24" s="8">
        <f t="shared" si="10"/>
        <v>1332</v>
      </c>
    </row>
    <row r="25" spans="1:36" x14ac:dyDescent="0.2">
      <c r="A25" s="3">
        <v>10</v>
      </c>
      <c r="B25" s="19" t="s">
        <v>35</v>
      </c>
      <c r="C25" s="2">
        <v>12356</v>
      </c>
      <c r="D25" s="2" t="s">
        <v>119</v>
      </c>
      <c r="E25" s="2" t="s">
        <v>122</v>
      </c>
      <c r="F25" s="2" t="s">
        <v>113</v>
      </c>
      <c r="G25" s="2"/>
      <c r="I25" s="4">
        <v>246</v>
      </c>
      <c r="J25" s="23">
        <v>155844.89999999994</v>
      </c>
      <c r="K25" s="4">
        <v>7119</v>
      </c>
      <c r="L25" s="7"/>
      <c r="M25" s="18">
        <f t="shared" si="0"/>
        <v>633.51585365853634</v>
      </c>
      <c r="N25" s="15">
        <f t="shared" si="1"/>
        <v>21.891403286978498</v>
      </c>
      <c r="O25" s="8">
        <f t="shared" si="2"/>
        <v>28.939024390243901</v>
      </c>
      <c r="Q25" s="10"/>
      <c r="S25" s="4">
        <v>6</v>
      </c>
      <c r="T25" s="23">
        <v>-644.54999999999995</v>
      </c>
      <c r="U25" s="4">
        <v>33</v>
      </c>
      <c r="W25" s="18">
        <f t="shared" si="3"/>
        <v>107.425</v>
      </c>
      <c r="X25" s="15">
        <f t="shared" si="8"/>
        <v>19.531818181818181</v>
      </c>
      <c r="Y25" s="8">
        <f t="shared" si="9"/>
        <v>5.5</v>
      </c>
      <c r="AC25" s="15">
        <f t="shared" si="4"/>
        <v>2.3595851051603169</v>
      </c>
      <c r="AD25" s="20">
        <f t="shared" si="5"/>
        <v>0.10778592282221815</v>
      </c>
      <c r="AE25" s="2"/>
      <c r="AF25" s="2"/>
      <c r="AG25" s="2"/>
      <c r="AH25" s="8">
        <f t="shared" si="6"/>
        <v>41</v>
      </c>
      <c r="AI25" s="5">
        <f t="shared" si="7"/>
        <v>-241.78868978356985</v>
      </c>
      <c r="AJ25" s="8">
        <f t="shared" si="10"/>
        <v>215.72727272727272</v>
      </c>
    </row>
    <row r="26" spans="1:36" x14ac:dyDescent="0.2">
      <c r="A26" s="3">
        <v>11</v>
      </c>
      <c r="B26" s="19" t="s">
        <v>55</v>
      </c>
      <c r="C26" s="2">
        <v>41857</v>
      </c>
      <c r="D26" s="2" t="s">
        <v>119</v>
      </c>
      <c r="E26" s="2" t="s">
        <v>122</v>
      </c>
      <c r="F26" s="2" t="s">
        <v>113</v>
      </c>
      <c r="G26" s="2"/>
      <c r="I26" s="4">
        <v>233</v>
      </c>
      <c r="J26" s="23">
        <v>127245.22000000004</v>
      </c>
      <c r="K26" s="4">
        <v>5532</v>
      </c>
      <c r="L26" s="7"/>
      <c r="M26" s="18">
        <f t="shared" si="0"/>
        <v>546.11682403433497</v>
      </c>
      <c r="N26" s="15">
        <f t="shared" si="1"/>
        <v>23.001666666666676</v>
      </c>
      <c r="O26" s="8">
        <f t="shared" si="2"/>
        <v>23.742489270386265</v>
      </c>
      <c r="Q26" s="10"/>
      <c r="S26" s="4">
        <v>1</v>
      </c>
      <c r="T26" s="23">
        <v>-4</v>
      </c>
      <c r="U26" s="4">
        <v>1</v>
      </c>
      <c r="W26" s="18">
        <f t="shared" si="3"/>
        <v>4</v>
      </c>
      <c r="X26" s="15">
        <f t="shared" si="8"/>
        <v>4</v>
      </c>
      <c r="Y26" s="8">
        <f t="shared" si="9"/>
        <v>1</v>
      </c>
      <c r="AC26" s="15">
        <f t="shared" si="4"/>
        <v>19.001666666666676</v>
      </c>
      <c r="AD26" s="20">
        <f t="shared" si="5"/>
        <v>0.82609955800304335</v>
      </c>
      <c r="AE26" s="2"/>
      <c r="AF26" s="2"/>
      <c r="AG26" s="2"/>
      <c r="AH26" s="8">
        <f t="shared" si="6"/>
        <v>233</v>
      </c>
      <c r="AI26" s="5">
        <f t="shared" si="7"/>
        <v>-31811.305000000011</v>
      </c>
      <c r="AJ26" s="8">
        <f t="shared" si="10"/>
        <v>5532</v>
      </c>
    </row>
    <row r="27" spans="1:36" x14ac:dyDescent="0.2">
      <c r="A27" s="3">
        <v>12</v>
      </c>
      <c r="B27" s="19" t="s">
        <v>60</v>
      </c>
      <c r="C27" s="2">
        <v>43761</v>
      </c>
      <c r="D27" s="2" t="s">
        <v>119</v>
      </c>
      <c r="E27" s="2" t="s">
        <v>122</v>
      </c>
      <c r="F27" s="2" t="s">
        <v>113</v>
      </c>
      <c r="G27" s="2"/>
      <c r="I27" s="4">
        <v>28</v>
      </c>
      <c r="J27" s="23">
        <v>11267.130000000001</v>
      </c>
      <c r="K27" s="4">
        <v>353</v>
      </c>
      <c r="L27" s="7"/>
      <c r="M27" s="18">
        <f t="shared" si="0"/>
        <v>402.39750000000004</v>
      </c>
      <c r="N27" s="15">
        <f t="shared" si="1"/>
        <v>31.918215297450427</v>
      </c>
      <c r="O27" s="8">
        <f t="shared" si="2"/>
        <v>12.607142857142858</v>
      </c>
      <c r="Q27" s="10"/>
      <c r="S27" s="4">
        <v>2</v>
      </c>
      <c r="T27" s="23">
        <v>-186.82</v>
      </c>
      <c r="U27" s="4">
        <v>41</v>
      </c>
      <c r="W27" s="18">
        <f t="shared" si="3"/>
        <v>93.41</v>
      </c>
      <c r="X27" s="15">
        <f t="shared" si="8"/>
        <v>4.5565853658536586</v>
      </c>
      <c r="Y27" s="8">
        <f t="shared" si="9"/>
        <v>20.5</v>
      </c>
      <c r="AC27" s="15">
        <f t="shared" si="4"/>
        <v>27.361629931596767</v>
      </c>
      <c r="AD27" s="20">
        <f t="shared" si="5"/>
        <v>0.85724185004110698</v>
      </c>
      <c r="AE27" s="2"/>
      <c r="AF27" s="2"/>
      <c r="AG27" s="2"/>
      <c r="AH27" s="8">
        <f t="shared" si="6"/>
        <v>14</v>
      </c>
      <c r="AI27" s="5">
        <f t="shared" si="7"/>
        <v>-60.310084573386156</v>
      </c>
      <c r="AJ27" s="8">
        <f t="shared" si="10"/>
        <v>8.6097560975609753</v>
      </c>
    </row>
    <row r="28" spans="1:36" x14ac:dyDescent="0.2">
      <c r="A28" s="3">
        <v>13</v>
      </c>
      <c r="B28" s="19" t="s">
        <v>53</v>
      </c>
      <c r="C28" s="2">
        <v>41397</v>
      </c>
      <c r="D28" s="2" t="s">
        <v>119</v>
      </c>
      <c r="E28" s="2" t="s">
        <v>122</v>
      </c>
      <c r="F28" s="2" t="s">
        <v>113</v>
      </c>
      <c r="G28" s="2"/>
      <c r="I28" s="4">
        <v>289</v>
      </c>
      <c r="J28" s="23">
        <v>24983.000000000007</v>
      </c>
      <c r="K28" s="4">
        <v>789</v>
      </c>
      <c r="L28" s="7"/>
      <c r="M28" s="18">
        <f t="shared" si="0"/>
        <v>86.446366782006947</v>
      </c>
      <c r="N28" s="33">
        <f t="shared" si="1"/>
        <v>31.664131812420795</v>
      </c>
      <c r="O28" s="8">
        <f t="shared" si="2"/>
        <v>2.7301038062283736</v>
      </c>
      <c r="Q28" s="10"/>
      <c r="S28" s="4">
        <v>1</v>
      </c>
      <c r="T28" s="23">
        <v>-33.700000000000003</v>
      </c>
      <c r="U28" s="4">
        <v>1</v>
      </c>
      <c r="W28" s="18">
        <f t="shared" si="3"/>
        <v>33.700000000000003</v>
      </c>
      <c r="X28" s="49">
        <f t="shared" si="8"/>
        <v>33.700000000000003</v>
      </c>
      <c r="Y28" s="8">
        <f t="shared" si="9"/>
        <v>1</v>
      </c>
      <c r="AC28" s="15">
        <f t="shared" si="4"/>
        <v>-2.035868187579208</v>
      </c>
      <c r="AD28" s="50">
        <f t="shared" si="5"/>
        <v>-6.4295721090341221E-2</v>
      </c>
      <c r="AE28" s="2"/>
      <c r="AF28" s="2"/>
      <c r="AG28" s="2"/>
      <c r="AH28" s="8">
        <f t="shared" si="6"/>
        <v>289</v>
      </c>
      <c r="AI28" s="5">
        <f t="shared" si="7"/>
        <v>-741.33531157270045</v>
      </c>
      <c r="AJ28" s="8">
        <f t="shared" si="10"/>
        <v>789</v>
      </c>
    </row>
    <row r="29" spans="1:36" x14ac:dyDescent="0.2">
      <c r="A29" s="3">
        <v>14</v>
      </c>
      <c r="B29" s="19" t="s">
        <v>47</v>
      </c>
      <c r="C29" s="2">
        <v>22677</v>
      </c>
      <c r="D29" s="2" t="s">
        <v>119</v>
      </c>
      <c r="E29" s="2" t="s">
        <v>122</v>
      </c>
      <c r="F29" s="2" t="s">
        <v>113</v>
      </c>
      <c r="G29" s="2"/>
      <c r="I29" s="4">
        <v>97</v>
      </c>
      <c r="J29" s="23">
        <v>53628.929999999986</v>
      </c>
      <c r="K29" s="4">
        <v>2447</v>
      </c>
      <c r="L29" s="7"/>
      <c r="M29" s="18">
        <f t="shared" si="0"/>
        <v>552.87556701030917</v>
      </c>
      <c r="N29" s="33">
        <f t="shared" si="1"/>
        <v>21.916195341234157</v>
      </c>
      <c r="O29" s="8">
        <f t="shared" si="2"/>
        <v>25.226804123711339</v>
      </c>
      <c r="Q29" s="10"/>
      <c r="S29" s="4">
        <v>3</v>
      </c>
      <c r="T29" s="23">
        <v>-204.95</v>
      </c>
      <c r="U29" s="4">
        <v>7</v>
      </c>
      <c r="W29" s="18">
        <f t="shared" si="3"/>
        <v>68.316666666666663</v>
      </c>
      <c r="X29" s="49">
        <f t="shared" si="8"/>
        <v>29.278571428571428</v>
      </c>
      <c r="Y29" s="8">
        <f t="shared" si="9"/>
        <v>2.3333333333333335</v>
      </c>
      <c r="AC29" s="15">
        <f t="shared" si="4"/>
        <v>-7.362376087337271</v>
      </c>
      <c r="AD29" s="50">
        <f t="shared" si="5"/>
        <v>-0.3359331294828054</v>
      </c>
      <c r="AE29" s="2"/>
      <c r="AF29" s="2"/>
      <c r="AG29" s="2"/>
      <c r="AH29" s="8">
        <f t="shared" si="6"/>
        <v>32.333333333333336</v>
      </c>
      <c r="AI29" s="5">
        <f t="shared" si="7"/>
        <v>-261.66835813613073</v>
      </c>
      <c r="AJ29" s="8">
        <f t="shared" si="10"/>
        <v>349.57142857142856</v>
      </c>
    </row>
    <row r="30" spans="1:36" x14ac:dyDescent="0.2">
      <c r="A30" s="3">
        <v>15</v>
      </c>
      <c r="B30" s="19" t="s">
        <v>32</v>
      </c>
      <c r="C30" s="2">
        <v>12353</v>
      </c>
      <c r="D30" s="2" t="s">
        <v>119</v>
      </c>
      <c r="E30" s="2" t="s">
        <v>122</v>
      </c>
      <c r="F30" s="2" t="s">
        <v>113</v>
      </c>
      <c r="G30" s="2"/>
      <c r="I30" s="4">
        <v>594</v>
      </c>
      <c r="J30" s="23">
        <v>207283.47999999989</v>
      </c>
      <c r="K30" s="4">
        <v>9657</v>
      </c>
      <c r="L30" s="7"/>
      <c r="M30" s="18">
        <f t="shared" si="0"/>
        <v>348.96208754208737</v>
      </c>
      <c r="N30" s="33">
        <f t="shared" si="1"/>
        <v>21.464583203893536</v>
      </c>
      <c r="O30" s="8">
        <f t="shared" si="2"/>
        <v>16.257575757575758</v>
      </c>
      <c r="Q30" s="10"/>
      <c r="S30" s="4">
        <v>31</v>
      </c>
      <c r="T30" s="23">
        <v>-1677.6199999999997</v>
      </c>
      <c r="U30" s="4">
        <v>66</v>
      </c>
      <c r="W30" s="18">
        <f t="shared" si="3"/>
        <v>54.116774193548373</v>
      </c>
      <c r="X30" s="49">
        <f t="shared" si="8"/>
        <v>25.418484848484844</v>
      </c>
      <c r="Y30" s="8">
        <f t="shared" si="9"/>
        <v>2.129032258064516</v>
      </c>
      <c r="AC30" s="15">
        <f t="shared" si="4"/>
        <v>-3.9539016445913084</v>
      </c>
      <c r="AD30" s="50">
        <f t="shared" si="5"/>
        <v>-0.18420584304073961</v>
      </c>
      <c r="AE30" s="2"/>
      <c r="AF30" s="2"/>
      <c r="AG30" s="2"/>
      <c r="AH30" s="8">
        <f t="shared" si="6"/>
        <v>19.161290322580644</v>
      </c>
      <c r="AI30" s="5">
        <f t="shared" si="7"/>
        <v>-123.55806440075818</v>
      </c>
      <c r="AJ30" s="8">
        <f t="shared" si="10"/>
        <v>146.31818181818181</v>
      </c>
    </row>
    <row r="31" spans="1:36" x14ac:dyDescent="0.2">
      <c r="A31" s="3">
        <v>16</v>
      </c>
      <c r="B31" s="19" t="s">
        <v>65</v>
      </c>
      <c r="C31" s="2">
        <v>48018</v>
      </c>
      <c r="D31" s="2" t="s">
        <v>119</v>
      </c>
      <c r="E31" s="2" t="s">
        <v>122</v>
      </c>
      <c r="F31" s="2" t="s">
        <v>114</v>
      </c>
      <c r="G31" s="2"/>
      <c r="I31" s="4">
        <v>1265</v>
      </c>
      <c r="J31" s="23">
        <v>485147.2300000001</v>
      </c>
      <c r="K31" s="4">
        <v>5690</v>
      </c>
      <c r="L31" s="7"/>
      <c r="M31" s="18">
        <f t="shared" si="0"/>
        <v>383.51559683794471</v>
      </c>
      <c r="N31" s="15">
        <f t="shared" si="1"/>
        <v>85.263133567662578</v>
      </c>
      <c r="O31" s="8">
        <f t="shared" si="2"/>
        <v>4.4980237154150196</v>
      </c>
      <c r="Q31" s="10"/>
      <c r="S31" s="4"/>
      <c r="T31" s="23"/>
      <c r="U31" s="4"/>
      <c r="W31" s="18"/>
      <c r="X31" s="15"/>
      <c r="Y31" s="8"/>
      <c r="AC31" s="15">
        <f t="shared" si="4"/>
        <v>85.263133567662578</v>
      </c>
      <c r="AD31" s="20">
        <f t="shared" si="5"/>
        <v>1</v>
      </c>
      <c r="AE31" s="2"/>
      <c r="AF31" s="2"/>
      <c r="AG31" s="2"/>
      <c r="AH31" s="8"/>
      <c r="AI31" s="5"/>
      <c r="AJ31" s="8"/>
    </row>
    <row r="32" spans="1:36" x14ac:dyDescent="0.2">
      <c r="A32" s="3">
        <v>17</v>
      </c>
      <c r="B32" s="19" t="s">
        <v>52</v>
      </c>
      <c r="C32" s="2">
        <v>41177</v>
      </c>
      <c r="D32" s="2" t="s">
        <v>119</v>
      </c>
      <c r="E32" s="2" t="s">
        <v>122</v>
      </c>
      <c r="F32" s="2" t="s">
        <v>114</v>
      </c>
      <c r="G32" s="2"/>
      <c r="I32" s="4">
        <v>89</v>
      </c>
      <c r="J32" s="23">
        <v>39208.649999999994</v>
      </c>
      <c r="K32" s="4">
        <v>1641</v>
      </c>
      <c r="L32" s="7"/>
      <c r="M32" s="18">
        <f t="shared" si="0"/>
        <v>440.54662921348307</v>
      </c>
      <c r="N32" s="15">
        <f t="shared" si="1"/>
        <v>23.893144424131624</v>
      </c>
      <c r="O32" s="8">
        <f t="shared" si="2"/>
        <v>18.438202247191011</v>
      </c>
      <c r="Q32" s="10"/>
      <c r="S32" s="4"/>
      <c r="T32" s="23"/>
      <c r="U32" s="4"/>
      <c r="W32" s="18"/>
      <c r="X32" s="15"/>
      <c r="Y32" s="8"/>
      <c r="AC32" s="15">
        <f t="shared" si="4"/>
        <v>23.893144424131624</v>
      </c>
      <c r="AD32" s="20">
        <f t="shared" si="5"/>
        <v>1</v>
      </c>
      <c r="AE32" s="2"/>
      <c r="AF32" s="2"/>
      <c r="AG32" s="2"/>
      <c r="AH32" s="8"/>
      <c r="AI32" s="5"/>
      <c r="AJ32" s="8"/>
    </row>
    <row r="33" spans="1:36" x14ac:dyDescent="0.2">
      <c r="A33" s="3">
        <v>18</v>
      </c>
      <c r="B33" s="19" t="s">
        <v>67</v>
      </c>
      <c r="C33" s="2">
        <v>63977</v>
      </c>
      <c r="D33" s="2" t="s">
        <v>119</v>
      </c>
      <c r="E33" s="2" t="s">
        <v>122</v>
      </c>
      <c r="F33" s="2" t="s">
        <v>114</v>
      </c>
      <c r="G33" s="2"/>
      <c r="I33" s="4">
        <v>74</v>
      </c>
      <c r="J33" s="23">
        <v>7712.3200000000024</v>
      </c>
      <c r="K33" s="4">
        <v>89</v>
      </c>
      <c r="L33" s="7"/>
      <c r="M33" s="18">
        <f t="shared" si="0"/>
        <v>104.22054054054057</v>
      </c>
      <c r="N33" s="15">
        <f t="shared" si="1"/>
        <v>86.655280898876427</v>
      </c>
      <c r="O33" s="8">
        <f t="shared" si="2"/>
        <v>1.2027027027027026</v>
      </c>
      <c r="Q33" s="10"/>
      <c r="S33" s="4"/>
      <c r="T33" s="23"/>
      <c r="U33" s="4"/>
      <c r="W33" s="18"/>
      <c r="X33" s="15"/>
      <c r="Y33" s="8"/>
      <c r="AC33" s="15">
        <f t="shared" si="4"/>
        <v>86.655280898876427</v>
      </c>
      <c r="AD33" s="20">
        <f t="shared" si="5"/>
        <v>1</v>
      </c>
      <c r="AE33" s="2"/>
      <c r="AF33" s="2"/>
      <c r="AG33" s="2"/>
      <c r="AH33" s="8"/>
      <c r="AI33" s="5"/>
      <c r="AJ33" s="8"/>
    </row>
    <row r="34" spans="1:36" x14ac:dyDescent="0.2">
      <c r="A34" s="3">
        <v>19</v>
      </c>
      <c r="B34" s="19" t="s">
        <v>16</v>
      </c>
      <c r="C34" s="2">
        <v>12036</v>
      </c>
      <c r="D34" s="2" t="s">
        <v>119</v>
      </c>
      <c r="E34" s="2" t="s">
        <v>122</v>
      </c>
      <c r="F34" s="2" t="s">
        <v>114</v>
      </c>
      <c r="G34" s="2"/>
      <c r="I34" s="4">
        <v>2306</v>
      </c>
      <c r="J34" s="23">
        <v>1151964.749999997</v>
      </c>
      <c r="K34" s="4">
        <v>13015</v>
      </c>
      <c r="L34" s="7"/>
      <c r="M34" s="18">
        <f t="shared" si="0"/>
        <v>499.5510624457923</v>
      </c>
      <c r="N34" s="15">
        <f t="shared" si="1"/>
        <v>88.510545524394701</v>
      </c>
      <c r="O34" s="8">
        <f t="shared" si="2"/>
        <v>5.6439722463139637</v>
      </c>
      <c r="Q34" s="10"/>
      <c r="S34" s="4">
        <v>2</v>
      </c>
      <c r="T34" s="23">
        <v>-19.25</v>
      </c>
      <c r="U34" s="4">
        <v>2</v>
      </c>
      <c r="W34" s="18">
        <f t="shared" ref="W34:W41" si="11">SUM(T34/S34)*-1</f>
        <v>9.625</v>
      </c>
      <c r="X34" s="15">
        <f t="shared" ref="X34:X41" si="12">SUM(T34/U34)*-1</f>
        <v>9.625</v>
      </c>
      <c r="Y34" s="8">
        <f t="shared" ref="Y34:Y41" si="13">SUM(U34/S34)</f>
        <v>1</v>
      </c>
      <c r="AC34" s="15">
        <f t="shared" si="4"/>
        <v>78.885545524394701</v>
      </c>
      <c r="AD34" s="20">
        <f t="shared" si="5"/>
        <v>0.89125589563395902</v>
      </c>
      <c r="AE34" s="2"/>
      <c r="AF34" s="2"/>
      <c r="AG34" s="2"/>
      <c r="AH34" s="8">
        <f t="shared" ref="AH34:AJ41" si="14">SUM(I34/S34)</f>
        <v>1153</v>
      </c>
      <c r="AI34" s="5">
        <f t="shared" si="14"/>
        <v>-59842.324675324518</v>
      </c>
      <c r="AJ34" s="8">
        <f t="shared" si="14"/>
        <v>6507.5</v>
      </c>
    </row>
    <row r="35" spans="1:36" x14ac:dyDescent="0.2">
      <c r="A35" s="3">
        <v>20</v>
      </c>
      <c r="B35" s="19" t="s">
        <v>17</v>
      </c>
      <c r="C35" s="2">
        <v>12040</v>
      </c>
      <c r="D35" s="2" t="s">
        <v>119</v>
      </c>
      <c r="E35" s="2" t="s">
        <v>122</v>
      </c>
      <c r="F35" s="2" t="s">
        <v>114</v>
      </c>
      <c r="G35" s="2"/>
      <c r="I35" s="4">
        <v>1542</v>
      </c>
      <c r="J35" s="23">
        <v>511435.48999999987</v>
      </c>
      <c r="K35" s="4">
        <v>11052</v>
      </c>
      <c r="L35" s="7"/>
      <c r="M35" s="18">
        <f t="shared" si="0"/>
        <v>331.67022697795062</v>
      </c>
      <c r="N35" s="33">
        <f t="shared" si="1"/>
        <v>46.27537911690191</v>
      </c>
      <c r="O35" s="8">
        <f t="shared" si="2"/>
        <v>7.1673151750972766</v>
      </c>
      <c r="Q35" s="10"/>
      <c r="S35" s="4">
        <v>185</v>
      </c>
      <c r="T35" s="23">
        <v>-18109.360000000011</v>
      </c>
      <c r="U35" s="4">
        <v>391</v>
      </c>
      <c r="W35" s="18">
        <f t="shared" si="11"/>
        <v>97.888432432432495</v>
      </c>
      <c r="X35" s="49">
        <f t="shared" si="12"/>
        <v>46.315498721227648</v>
      </c>
      <c r="Y35" s="8">
        <f t="shared" si="13"/>
        <v>2.1135135135135137</v>
      </c>
      <c r="AC35" s="15">
        <f t="shared" si="4"/>
        <v>-4.0119604325738578E-2</v>
      </c>
      <c r="AD35" s="50">
        <f t="shared" si="5"/>
        <v>-8.6697516241601236E-4</v>
      </c>
      <c r="AE35" s="2"/>
      <c r="AF35" s="2"/>
      <c r="AG35" s="2"/>
      <c r="AH35" s="8">
        <f t="shared" si="14"/>
        <v>8.3351351351351344</v>
      </c>
      <c r="AI35" s="5">
        <f t="shared" si="14"/>
        <v>-28.241499975703146</v>
      </c>
      <c r="AJ35" s="8">
        <f t="shared" si="14"/>
        <v>28.265984654731458</v>
      </c>
    </row>
    <row r="36" spans="1:36" x14ac:dyDescent="0.2">
      <c r="A36" s="3">
        <v>21</v>
      </c>
      <c r="B36" s="19" t="s">
        <v>31</v>
      </c>
      <c r="C36" s="2">
        <v>12348</v>
      </c>
      <c r="D36" s="2" t="s">
        <v>119</v>
      </c>
      <c r="E36" s="2" t="s">
        <v>120</v>
      </c>
      <c r="F36" s="2"/>
      <c r="G36" s="2"/>
      <c r="I36" s="4">
        <v>4411</v>
      </c>
      <c r="J36" s="23">
        <v>481806.01</v>
      </c>
      <c r="K36" s="4">
        <v>35108</v>
      </c>
      <c r="L36" s="7"/>
      <c r="M36" s="18">
        <f t="shared" si="0"/>
        <v>109.228295171163</v>
      </c>
      <c r="N36" s="15">
        <f t="shared" si="1"/>
        <v>13.723539079412101</v>
      </c>
      <c r="O36" s="8">
        <f t="shared" si="2"/>
        <v>7.9591929267739738</v>
      </c>
      <c r="Q36" s="10"/>
      <c r="S36" s="4">
        <v>22</v>
      </c>
      <c r="T36" s="23">
        <v>-935.85</v>
      </c>
      <c r="U36" s="4">
        <v>83</v>
      </c>
      <c r="W36" s="18">
        <f t="shared" si="11"/>
        <v>42.538636363636364</v>
      </c>
      <c r="X36" s="15">
        <f t="shared" si="12"/>
        <v>11.275301204819277</v>
      </c>
      <c r="Y36" s="8">
        <f t="shared" si="13"/>
        <v>3.7727272727272729</v>
      </c>
      <c r="AC36" s="15">
        <f t="shared" si="4"/>
        <v>2.4482378745928237</v>
      </c>
      <c r="AD36" s="20">
        <f t="shared" si="5"/>
        <v>0.17839697620460329</v>
      </c>
      <c r="AE36" s="2"/>
      <c r="AF36" s="2"/>
      <c r="AG36" s="2"/>
      <c r="AH36" s="8">
        <f t="shared" si="14"/>
        <v>200.5</v>
      </c>
      <c r="AI36" s="5">
        <f t="shared" si="14"/>
        <v>-514.83251589464123</v>
      </c>
      <c r="AJ36" s="8">
        <f t="shared" si="14"/>
        <v>422.98795180722891</v>
      </c>
    </row>
    <row r="37" spans="1:36" x14ac:dyDescent="0.2">
      <c r="A37" s="3">
        <v>22</v>
      </c>
      <c r="B37" s="19" t="s">
        <v>39</v>
      </c>
      <c r="C37" s="2">
        <v>12761</v>
      </c>
      <c r="D37" s="2" t="s">
        <v>119</v>
      </c>
      <c r="E37" s="2" t="s">
        <v>120</v>
      </c>
      <c r="F37" s="2"/>
      <c r="G37" s="2"/>
      <c r="I37" s="4">
        <v>5149</v>
      </c>
      <c r="J37" s="23">
        <v>3715075.9102999992</v>
      </c>
      <c r="K37" s="4">
        <v>258197</v>
      </c>
      <c r="L37" s="7"/>
      <c r="M37" s="18">
        <f t="shared" si="0"/>
        <v>721.51406298310337</v>
      </c>
      <c r="N37" s="15">
        <f t="shared" si="1"/>
        <v>14.388532439571332</v>
      </c>
      <c r="O37" s="8">
        <f t="shared" si="2"/>
        <v>50.145076713925036</v>
      </c>
      <c r="Q37" s="10"/>
      <c r="S37" s="4">
        <v>1352</v>
      </c>
      <c r="T37" s="23">
        <v>-55809.320000000072</v>
      </c>
      <c r="U37" s="4">
        <v>56092</v>
      </c>
      <c r="W37" s="18">
        <f t="shared" si="11"/>
        <v>41.27908284023674</v>
      </c>
      <c r="X37" s="15">
        <f t="shared" si="12"/>
        <v>0.99496042216358971</v>
      </c>
      <c r="Y37" s="8">
        <f t="shared" si="13"/>
        <v>41.488165680473372</v>
      </c>
      <c r="AC37" s="15">
        <f t="shared" si="4"/>
        <v>13.393572017407742</v>
      </c>
      <c r="AD37" s="20">
        <f t="shared" si="5"/>
        <v>0.93085045842289993</v>
      </c>
      <c r="AE37" s="2"/>
      <c r="AF37" s="2"/>
      <c r="AG37" s="2"/>
      <c r="AH37" s="8">
        <f t="shared" si="14"/>
        <v>3.8084319526627217</v>
      </c>
      <c r="AI37" s="5">
        <f t="shared" si="14"/>
        <v>-66.567302921805791</v>
      </c>
      <c r="AJ37" s="8">
        <f t="shared" si="14"/>
        <v>4.6030984810668185</v>
      </c>
    </row>
    <row r="38" spans="1:36" x14ac:dyDescent="0.2">
      <c r="A38" s="3">
        <v>23</v>
      </c>
      <c r="B38" s="19" t="s">
        <v>29</v>
      </c>
      <c r="C38" s="2">
        <v>12323</v>
      </c>
      <c r="D38" s="2" t="s">
        <v>119</v>
      </c>
      <c r="E38" s="2" t="s">
        <v>120</v>
      </c>
      <c r="F38" s="2"/>
      <c r="G38" s="2"/>
      <c r="I38" s="4">
        <v>5118</v>
      </c>
      <c r="J38" s="23">
        <v>2735187.7900000042</v>
      </c>
      <c r="K38" s="4">
        <v>184953</v>
      </c>
      <c r="L38" s="7"/>
      <c r="M38" s="18">
        <f t="shared" si="0"/>
        <v>534.42512504884803</v>
      </c>
      <c r="N38" s="15">
        <f t="shared" si="1"/>
        <v>14.788555957459485</v>
      </c>
      <c r="O38" s="8">
        <f t="shared" si="2"/>
        <v>36.137749120750293</v>
      </c>
      <c r="Q38" s="10"/>
      <c r="S38" s="4">
        <v>158</v>
      </c>
      <c r="T38" s="23">
        <v>-9085.2800000000025</v>
      </c>
      <c r="U38" s="4">
        <v>8660</v>
      </c>
      <c r="W38" s="18">
        <f t="shared" si="11"/>
        <v>57.501772151898749</v>
      </c>
      <c r="X38" s="15">
        <f t="shared" si="12"/>
        <v>1.0491085450346422</v>
      </c>
      <c r="Y38" s="8">
        <f t="shared" si="13"/>
        <v>54.810126582278478</v>
      </c>
      <c r="AC38" s="15">
        <f t="shared" si="4"/>
        <v>13.739447412424843</v>
      </c>
      <c r="AD38" s="20">
        <f t="shared" si="5"/>
        <v>0.92905943297963034</v>
      </c>
      <c r="AE38" s="2"/>
      <c r="AF38" s="2"/>
      <c r="AG38" s="2"/>
      <c r="AH38" s="8">
        <f t="shared" si="14"/>
        <v>32.392405063291136</v>
      </c>
      <c r="AI38" s="5">
        <f t="shared" si="14"/>
        <v>-301.05707143863521</v>
      </c>
      <c r="AJ38" s="8">
        <f t="shared" si="14"/>
        <v>21.357159353348731</v>
      </c>
    </row>
    <row r="39" spans="1:36" x14ac:dyDescent="0.2">
      <c r="A39" s="3">
        <v>24</v>
      </c>
      <c r="B39" s="19" t="s">
        <v>49</v>
      </c>
      <c r="C39" s="2">
        <v>32577</v>
      </c>
      <c r="D39" s="2" t="s">
        <v>119</v>
      </c>
      <c r="E39" s="2"/>
      <c r="F39" s="2"/>
      <c r="G39" s="2"/>
      <c r="I39" s="4">
        <v>121</v>
      </c>
      <c r="J39" s="23">
        <v>126509.60999999997</v>
      </c>
      <c r="K39" s="4">
        <v>5199</v>
      </c>
      <c r="L39" s="7"/>
      <c r="M39" s="18">
        <f t="shared" si="0"/>
        <v>1045.5339669421485</v>
      </c>
      <c r="N39" s="33">
        <f t="shared" si="1"/>
        <v>24.333450663589147</v>
      </c>
      <c r="O39" s="8">
        <f t="shared" si="2"/>
        <v>42.966942148760332</v>
      </c>
      <c r="Q39" s="10"/>
      <c r="S39" s="4">
        <v>10</v>
      </c>
      <c r="T39" s="23">
        <v>-600.25000000000011</v>
      </c>
      <c r="U39" s="4">
        <v>22</v>
      </c>
      <c r="W39" s="18">
        <f t="shared" si="11"/>
        <v>60.025000000000013</v>
      </c>
      <c r="X39" s="49">
        <f t="shared" si="12"/>
        <v>27.284090909090914</v>
      </c>
      <c r="Y39" s="8">
        <f t="shared" si="13"/>
        <v>2.2000000000000002</v>
      </c>
      <c r="AC39" s="15">
        <f t="shared" si="4"/>
        <v>-2.9506402455017664</v>
      </c>
      <c r="AD39" s="50">
        <f t="shared" si="5"/>
        <v>-0.12125860348762189</v>
      </c>
      <c r="AE39" s="2"/>
      <c r="AF39" s="2"/>
      <c r="AG39" s="2"/>
      <c r="AH39" s="8">
        <f t="shared" si="14"/>
        <v>12.1</v>
      </c>
      <c r="AI39" s="5">
        <f t="shared" si="14"/>
        <v>-210.76153269471044</v>
      </c>
      <c r="AJ39" s="8">
        <f t="shared" si="14"/>
        <v>236.31818181818181</v>
      </c>
    </row>
    <row r="40" spans="1:36" x14ac:dyDescent="0.2">
      <c r="A40" s="3">
        <v>25</v>
      </c>
      <c r="B40" s="19" t="s">
        <v>2</v>
      </c>
      <c r="C40" s="2">
        <v>11887</v>
      </c>
      <c r="D40" s="2" t="s">
        <v>119</v>
      </c>
      <c r="E40" s="2"/>
      <c r="F40" s="2"/>
      <c r="G40" s="2"/>
      <c r="I40" s="4">
        <v>257</v>
      </c>
      <c r="J40" s="23">
        <v>218723.46000000011</v>
      </c>
      <c r="K40" s="4">
        <v>9636</v>
      </c>
      <c r="L40" s="7"/>
      <c r="M40" s="18">
        <f t="shared" si="0"/>
        <v>851.06404669260746</v>
      </c>
      <c r="N40" s="33">
        <f t="shared" si="1"/>
        <v>22.698574097135751</v>
      </c>
      <c r="O40" s="8">
        <f t="shared" si="2"/>
        <v>37.494163424124515</v>
      </c>
      <c r="Q40" s="10"/>
      <c r="S40" s="4">
        <v>13</v>
      </c>
      <c r="T40" s="23">
        <v>-1681.5</v>
      </c>
      <c r="U40" s="4">
        <v>68</v>
      </c>
      <c r="W40" s="18">
        <f t="shared" si="11"/>
        <v>129.34615384615384</v>
      </c>
      <c r="X40" s="49">
        <f t="shared" si="12"/>
        <v>24.727941176470587</v>
      </c>
      <c r="Y40" s="8">
        <f t="shared" si="13"/>
        <v>5.2307692307692308</v>
      </c>
      <c r="AC40" s="15">
        <f t="shared" si="4"/>
        <v>-2.0293670793348362</v>
      </c>
      <c r="AD40" s="50">
        <f t="shared" si="5"/>
        <v>-8.940504679502817E-2</v>
      </c>
      <c r="AE40" s="2"/>
      <c r="AF40" s="2"/>
      <c r="AG40" s="2"/>
      <c r="AH40" s="8">
        <f t="shared" si="14"/>
        <v>19.76923076923077</v>
      </c>
      <c r="AI40" s="5">
        <f t="shared" si="14"/>
        <v>-130.07639607493317</v>
      </c>
      <c r="AJ40" s="8">
        <f t="shared" si="14"/>
        <v>141.70588235294119</v>
      </c>
    </row>
    <row r="41" spans="1:36" x14ac:dyDescent="0.2">
      <c r="A41" s="3">
        <v>26</v>
      </c>
      <c r="B41" s="19" t="s">
        <v>30</v>
      </c>
      <c r="C41" s="2">
        <v>12343</v>
      </c>
      <c r="D41" s="2" t="s">
        <v>119</v>
      </c>
      <c r="E41" s="2"/>
      <c r="F41" s="2"/>
      <c r="G41" s="2"/>
      <c r="I41" s="4">
        <v>551</v>
      </c>
      <c r="J41" s="23">
        <v>178295.41999999969</v>
      </c>
      <c r="K41" s="4">
        <v>1632</v>
      </c>
      <c r="L41" s="7"/>
      <c r="M41" s="18">
        <f t="shared" si="0"/>
        <v>323.58515426497223</v>
      </c>
      <c r="N41" s="15">
        <f t="shared" si="1"/>
        <v>109.24964460784295</v>
      </c>
      <c r="O41" s="8">
        <f t="shared" si="2"/>
        <v>2.9618874773139745</v>
      </c>
      <c r="Q41" s="10"/>
      <c r="S41" s="4">
        <v>20</v>
      </c>
      <c r="T41" s="23">
        <v>-3669.75</v>
      </c>
      <c r="U41" s="4">
        <v>39</v>
      </c>
      <c r="W41" s="18">
        <f t="shared" si="11"/>
        <v>183.48750000000001</v>
      </c>
      <c r="X41" s="15">
        <f t="shared" si="12"/>
        <v>94.09615384615384</v>
      </c>
      <c r="Y41" s="8">
        <f t="shared" si="13"/>
        <v>1.95</v>
      </c>
      <c r="AC41" s="15">
        <f t="shared" si="4"/>
        <v>15.153490761689113</v>
      </c>
      <c r="AD41" s="20">
        <f t="shared" si="5"/>
        <v>0.13870517214113898</v>
      </c>
      <c r="AE41" s="2"/>
      <c r="AF41" s="2"/>
      <c r="AG41" s="2"/>
      <c r="AH41" s="8">
        <f t="shared" si="14"/>
        <v>27.55</v>
      </c>
      <c r="AI41" s="5">
        <f t="shared" si="14"/>
        <v>-48.585167926970421</v>
      </c>
      <c r="AJ41" s="8">
        <f t="shared" si="14"/>
        <v>41.846153846153847</v>
      </c>
    </row>
    <row r="42" spans="1:36" x14ac:dyDescent="0.2">
      <c r="A42" s="3">
        <v>27</v>
      </c>
      <c r="B42" s="19" t="s">
        <v>56</v>
      </c>
      <c r="C42" s="2">
        <v>41859</v>
      </c>
      <c r="D42" s="2" t="s">
        <v>119</v>
      </c>
      <c r="E42" s="2"/>
      <c r="F42" s="2"/>
      <c r="G42" s="2"/>
      <c r="I42" s="4">
        <v>258</v>
      </c>
      <c r="J42" s="23">
        <v>131824.32000000001</v>
      </c>
      <c r="K42" s="4">
        <v>5686</v>
      </c>
      <c r="L42" s="7"/>
      <c r="M42" s="18">
        <f t="shared" si="0"/>
        <v>510.94697674418609</v>
      </c>
      <c r="N42" s="15">
        <f t="shared" si="1"/>
        <v>23.18401688357369</v>
      </c>
      <c r="O42" s="8">
        <f t="shared" si="2"/>
        <v>22.038759689922479</v>
      </c>
      <c r="Q42" s="10"/>
      <c r="S42" s="4"/>
      <c r="T42" s="23"/>
      <c r="U42" s="4"/>
      <c r="W42" s="18"/>
      <c r="X42" s="15"/>
      <c r="Y42" s="8"/>
      <c r="AC42" s="15">
        <f t="shared" si="4"/>
        <v>23.18401688357369</v>
      </c>
      <c r="AD42" s="20">
        <f t="shared" si="5"/>
        <v>1</v>
      </c>
      <c r="AE42" s="2"/>
      <c r="AF42" s="2"/>
      <c r="AG42" s="2"/>
      <c r="AH42" s="8"/>
      <c r="AI42" s="5"/>
      <c r="AJ42" s="8"/>
    </row>
    <row r="43" spans="1:36" x14ac:dyDescent="0.2">
      <c r="A43" s="3">
        <v>28</v>
      </c>
      <c r="B43" s="19" t="s">
        <v>63</v>
      </c>
      <c r="C43" s="2">
        <v>45197</v>
      </c>
      <c r="D43" s="2" t="s">
        <v>119</v>
      </c>
      <c r="E43" s="2"/>
      <c r="F43" s="2"/>
      <c r="G43" s="2"/>
      <c r="I43" s="4">
        <v>102</v>
      </c>
      <c r="J43" s="23">
        <v>20500.610000000008</v>
      </c>
      <c r="K43" s="4">
        <v>618</v>
      </c>
      <c r="L43" s="7"/>
      <c r="M43" s="18">
        <f t="shared" si="0"/>
        <v>200.98637254901968</v>
      </c>
      <c r="N43" s="15">
        <f t="shared" si="1"/>
        <v>33.172508090614897</v>
      </c>
      <c r="O43" s="8">
        <f t="shared" si="2"/>
        <v>6.0588235294117645</v>
      </c>
      <c r="Q43" s="10"/>
      <c r="S43" s="4">
        <v>5</v>
      </c>
      <c r="T43" s="23">
        <v>-204.1</v>
      </c>
      <c r="U43" s="4">
        <v>57</v>
      </c>
      <c r="W43" s="18">
        <f t="shared" ref="W43:W49" si="15">SUM(T43/S43)*-1</f>
        <v>40.82</v>
      </c>
      <c r="X43" s="15">
        <f t="shared" ref="X43:X49" si="16">SUM(T43/U43)*-1</f>
        <v>3.5807017543859647</v>
      </c>
      <c r="Y43" s="8">
        <f t="shared" ref="Y43:Y49" si="17">SUM(U43/S43)</f>
        <v>11.4</v>
      </c>
      <c r="AC43" s="15">
        <f t="shared" si="4"/>
        <v>29.591806336228935</v>
      </c>
      <c r="AD43" s="20">
        <f t="shared" si="5"/>
        <v>0.89205815416172862</v>
      </c>
      <c r="AE43" s="2"/>
      <c r="AF43" s="2"/>
      <c r="AG43" s="2"/>
      <c r="AH43" s="8">
        <f t="shared" ref="AH43:AJ49" si="18">SUM(I43/S43)</f>
        <v>20.399999999999999</v>
      </c>
      <c r="AI43" s="5">
        <f t="shared" si="18"/>
        <v>-100.44394904458603</v>
      </c>
      <c r="AJ43" s="8">
        <f t="shared" si="18"/>
        <v>10.842105263157896</v>
      </c>
    </row>
    <row r="44" spans="1:36" x14ac:dyDescent="0.2">
      <c r="A44" s="3">
        <v>29</v>
      </c>
      <c r="B44" s="19" t="s">
        <v>33</v>
      </c>
      <c r="C44" s="2">
        <v>12354</v>
      </c>
      <c r="D44" s="2" t="s">
        <v>119</v>
      </c>
      <c r="E44" s="2"/>
      <c r="F44" s="2"/>
      <c r="G44" s="2"/>
      <c r="I44" s="4">
        <v>124</v>
      </c>
      <c r="J44" s="23">
        <v>34661.000000000015</v>
      </c>
      <c r="K44" s="4">
        <v>1388</v>
      </c>
      <c r="L44" s="7"/>
      <c r="M44" s="18">
        <f t="shared" si="0"/>
        <v>279.52419354838719</v>
      </c>
      <c r="N44" s="15">
        <f t="shared" si="1"/>
        <v>24.971902017291075</v>
      </c>
      <c r="O44" s="8">
        <f t="shared" si="2"/>
        <v>11.193548387096774</v>
      </c>
      <c r="Q44" s="10"/>
      <c r="S44" s="4">
        <v>3</v>
      </c>
      <c r="T44" s="23">
        <v>-285.85000000000002</v>
      </c>
      <c r="U44" s="4">
        <v>17</v>
      </c>
      <c r="W44" s="18">
        <f t="shared" si="15"/>
        <v>95.283333333333346</v>
      </c>
      <c r="X44" s="15">
        <f t="shared" si="16"/>
        <v>16.814705882352943</v>
      </c>
      <c r="Y44" s="8">
        <f t="shared" si="17"/>
        <v>5.666666666666667</v>
      </c>
      <c r="AC44" s="15">
        <f t="shared" si="4"/>
        <v>8.1571961349381326</v>
      </c>
      <c r="AD44" s="20">
        <f t="shared" si="5"/>
        <v>0.32665497923585946</v>
      </c>
      <c r="AE44" s="2"/>
      <c r="AF44" s="2"/>
      <c r="AG44" s="2"/>
      <c r="AH44" s="8">
        <f t="shared" si="18"/>
        <v>41.333333333333336</v>
      </c>
      <c r="AI44" s="5">
        <f t="shared" si="18"/>
        <v>-121.25590344586325</v>
      </c>
      <c r="AJ44" s="8">
        <f t="shared" si="18"/>
        <v>81.647058823529406</v>
      </c>
    </row>
    <row r="45" spans="1:36" x14ac:dyDescent="0.2">
      <c r="A45" s="3">
        <v>30</v>
      </c>
      <c r="B45" s="19" t="s">
        <v>21</v>
      </c>
      <c r="C45" s="2">
        <v>12144</v>
      </c>
      <c r="D45" s="2" t="s">
        <v>119</v>
      </c>
      <c r="E45" s="2"/>
      <c r="F45" s="2"/>
      <c r="G45" s="2"/>
      <c r="I45" s="4">
        <v>518</v>
      </c>
      <c r="J45" s="23">
        <v>145016.75</v>
      </c>
      <c r="K45" s="4">
        <v>6336</v>
      </c>
      <c r="L45" s="7"/>
      <c r="M45" s="18">
        <f t="shared" si="0"/>
        <v>279.95511583011586</v>
      </c>
      <c r="N45" s="33">
        <f t="shared" si="1"/>
        <v>22.887744633838384</v>
      </c>
      <c r="O45" s="8">
        <f t="shared" si="2"/>
        <v>12.231660231660232</v>
      </c>
      <c r="Q45" s="10"/>
      <c r="S45" s="4">
        <v>5</v>
      </c>
      <c r="T45" s="23">
        <v>-650</v>
      </c>
      <c r="U45" s="4">
        <v>27</v>
      </c>
      <c r="W45" s="18">
        <f t="shared" si="15"/>
        <v>130</v>
      </c>
      <c r="X45" s="49">
        <f t="shared" si="16"/>
        <v>24.074074074074073</v>
      </c>
      <c r="Y45" s="8">
        <f t="shared" si="17"/>
        <v>5.4</v>
      </c>
      <c r="AC45" s="15">
        <f t="shared" si="4"/>
        <v>-1.1863294402356885</v>
      </c>
      <c r="AD45" s="50">
        <f t="shared" si="5"/>
        <v>-5.1832518197610429E-2</v>
      </c>
      <c r="AE45" s="2"/>
      <c r="AF45" s="2"/>
      <c r="AG45" s="2"/>
      <c r="AH45" s="8">
        <f t="shared" si="18"/>
        <v>103.6</v>
      </c>
      <c r="AI45" s="5">
        <f t="shared" si="18"/>
        <v>-223.10269230769231</v>
      </c>
      <c r="AJ45" s="8">
        <f t="shared" si="18"/>
        <v>234.66666666666666</v>
      </c>
    </row>
    <row r="46" spans="1:36" x14ac:dyDescent="0.2">
      <c r="A46" s="3">
        <v>31</v>
      </c>
      <c r="B46" s="19" t="s">
        <v>58</v>
      </c>
      <c r="C46" s="2">
        <v>41900</v>
      </c>
      <c r="D46" s="2" t="s">
        <v>119</v>
      </c>
      <c r="E46" s="2"/>
      <c r="F46" s="2"/>
      <c r="G46" s="2"/>
      <c r="I46" s="4">
        <v>48</v>
      </c>
      <c r="J46" s="23">
        <v>50117.609999999986</v>
      </c>
      <c r="K46" s="4">
        <v>2168</v>
      </c>
      <c r="L46" s="7"/>
      <c r="M46" s="18">
        <f t="shared" si="0"/>
        <v>1044.1168749999997</v>
      </c>
      <c r="N46" s="15">
        <f t="shared" si="1"/>
        <v>23.116978782287816</v>
      </c>
      <c r="O46" s="8">
        <f t="shared" si="2"/>
        <v>45.166666666666664</v>
      </c>
      <c r="Q46" s="10"/>
      <c r="S46" s="4">
        <v>1</v>
      </c>
      <c r="T46" s="23">
        <v>-0.85</v>
      </c>
      <c r="U46" s="4">
        <v>1</v>
      </c>
      <c r="W46" s="18">
        <f t="shared" si="15"/>
        <v>0.85</v>
      </c>
      <c r="X46" s="15">
        <f t="shared" si="16"/>
        <v>0.85</v>
      </c>
      <c r="Y46" s="8">
        <f t="shared" si="17"/>
        <v>1</v>
      </c>
      <c r="AC46" s="15">
        <f t="shared" si="4"/>
        <v>22.266978782287815</v>
      </c>
      <c r="AD46" s="20">
        <f t="shared" si="5"/>
        <v>0.96323048924320209</v>
      </c>
      <c r="AE46" s="2"/>
      <c r="AF46" s="2"/>
      <c r="AG46" s="2"/>
      <c r="AH46" s="8">
        <f t="shared" si="18"/>
        <v>48</v>
      </c>
      <c r="AI46" s="5">
        <f t="shared" si="18"/>
        <v>-58961.894117647047</v>
      </c>
      <c r="AJ46" s="8">
        <f t="shared" si="18"/>
        <v>2168</v>
      </c>
    </row>
    <row r="47" spans="1:36" x14ac:dyDescent="0.2">
      <c r="A47" s="3">
        <v>32</v>
      </c>
      <c r="B47" s="19" t="s">
        <v>22</v>
      </c>
      <c r="C47" s="2">
        <v>12194</v>
      </c>
      <c r="D47" s="2" t="s">
        <v>119</v>
      </c>
      <c r="E47" s="2"/>
      <c r="F47" s="2"/>
      <c r="G47" s="2"/>
      <c r="I47" s="4">
        <v>138</v>
      </c>
      <c r="J47" s="23">
        <v>68719.169999999984</v>
      </c>
      <c r="K47" s="4">
        <v>2958</v>
      </c>
      <c r="L47" s="7"/>
      <c r="M47" s="18">
        <f t="shared" si="0"/>
        <v>497.96499999999986</v>
      </c>
      <c r="N47" s="33">
        <f t="shared" si="1"/>
        <v>23.231632860040563</v>
      </c>
      <c r="O47" s="8">
        <f t="shared" si="2"/>
        <v>21.434782608695652</v>
      </c>
      <c r="Q47" s="10"/>
      <c r="S47" s="4">
        <v>10</v>
      </c>
      <c r="T47" s="23">
        <v>-601.74</v>
      </c>
      <c r="U47" s="4">
        <v>22</v>
      </c>
      <c r="W47" s="18">
        <f t="shared" si="15"/>
        <v>60.173999999999999</v>
      </c>
      <c r="X47" s="49">
        <f t="shared" si="16"/>
        <v>27.351818181818182</v>
      </c>
      <c r="Y47" s="8">
        <f t="shared" si="17"/>
        <v>2.2000000000000002</v>
      </c>
      <c r="AC47" s="15">
        <f t="shared" si="4"/>
        <v>-4.120185321777619</v>
      </c>
      <c r="AD47" s="50">
        <f t="shared" si="5"/>
        <v>-0.17735237753625663</v>
      </c>
      <c r="AE47" s="2"/>
      <c r="AF47" s="2"/>
      <c r="AG47" s="2"/>
      <c r="AH47" s="8">
        <f t="shared" si="18"/>
        <v>13.8</v>
      </c>
      <c r="AI47" s="5">
        <f t="shared" si="18"/>
        <v>-114.20076777345695</v>
      </c>
      <c r="AJ47" s="8">
        <f t="shared" si="18"/>
        <v>134.45454545454547</v>
      </c>
    </row>
    <row r="48" spans="1:36" x14ac:dyDescent="0.2">
      <c r="A48" s="3">
        <v>33</v>
      </c>
      <c r="B48" s="19" t="s">
        <v>66</v>
      </c>
      <c r="C48" s="2">
        <v>53957</v>
      </c>
      <c r="D48" s="2" t="s">
        <v>119</v>
      </c>
      <c r="E48" s="2"/>
      <c r="F48" s="2"/>
      <c r="G48" s="2"/>
      <c r="I48" s="4">
        <v>65</v>
      </c>
      <c r="J48" s="23">
        <v>10456.500000000004</v>
      </c>
      <c r="K48" s="4">
        <v>315</v>
      </c>
      <c r="L48" s="7"/>
      <c r="M48" s="18">
        <f t="shared" ref="M48:M79" si="19">SUM(J48/I48)</f>
        <v>160.86923076923082</v>
      </c>
      <c r="N48" s="15">
        <f t="shared" ref="N48:N79" si="20">SUM(J48/K48)</f>
        <v>33.195238095238103</v>
      </c>
      <c r="O48" s="8">
        <f t="shared" ref="O48:O79" si="21">SUM(K48/I48)</f>
        <v>4.8461538461538458</v>
      </c>
      <c r="Q48" s="10"/>
      <c r="S48" s="4">
        <v>1</v>
      </c>
      <c r="T48" s="23">
        <v>-20.6</v>
      </c>
      <c r="U48" s="4">
        <v>14</v>
      </c>
      <c r="W48" s="18">
        <f t="shared" si="15"/>
        <v>20.6</v>
      </c>
      <c r="X48" s="15">
        <f t="shared" si="16"/>
        <v>1.4714285714285715</v>
      </c>
      <c r="Y48" s="8">
        <f t="shared" si="17"/>
        <v>14</v>
      </c>
      <c r="AC48" s="15">
        <f t="shared" ref="AC48:AC72" si="22">SUM(N48-X48)</f>
        <v>31.723809523809532</v>
      </c>
      <c r="AD48" s="20">
        <f t="shared" ref="AD48:AD79" si="23">SUM(AC48/N48)</f>
        <v>0.95567350451872046</v>
      </c>
      <c r="AE48" s="2"/>
      <c r="AF48" s="2"/>
      <c r="AG48" s="2"/>
      <c r="AH48" s="8">
        <f t="shared" si="18"/>
        <v>65</v>
      </c>
      <c r="AI48" s="5">
        <f t="shared" si="18"/>
        <v>-507.59708737864094</v>
      </c>
      <c r="AJ48" s="8">
        <f t="shared" si="18"/>
        <v>22.5</v>
      </c>
    </row>
    <row r="49" spans="1:36" x14ac:dyDescent="0.2">
      <c r="A49" s="3">
        <v>34</v>
      </c>
      <c r="B49" s="19" t="s">
        <v>4</v>
      </c>
      <c r="C49" s="2">
        <v>11893</v>
      </c>
      <c r="D49" s="2" t="s">
        <v>119</v>
      </c>
      <c r="E49" s="2"/>
      <c r="F49" s="2"/>
      <c r="G49" s="2"/>
      <c r="I49" s="4">
        <v>674</v>
      </c>
      <c r="J49" s="23">
        <v>383895.56999999972</v>
      </c>
      <c r="K49" s="4">
        <v>15469</v>
      </c>
      <c r="L49" s="7"/>
      <c r="M49" s="18">
        <f t="shared" si="19"/>
        <v>569.5779970326405</v>
      </c>
      <c r="N49" s="15">
        <f t="shared" si="20"/>
        <v>24.817090309651544</v>
      </c>
      <c r="O49" s="8">
        <f t="shared" si="21"/>
        <v>22.951038575667656</v>
      </c>
      <c r="Q49" s="10"/>
      <c r="S49" s="4">
        <v>22</v>
      </c>
      <c r="T49" s="23">
        <v>-1621.5100000000002</v>
      </c>
      <c r="U49" s="4">
        <v>83</v>
      </c>
      <c r="W49" s="18">
        <f t="shared" si="15"/>
        <v>73.705000000000013</v>
      </c>
      <c r="X49" s="15">
        <f t="shared" si="16"/>
        <v>19.536265060240968</v>
      </c>
      <c r="Y49" s="8">
        <f t="shared" si="17"/>
        <v>3.7727272727272729</v>
      </c>
      <c r="AC49" s="15">
        <f t="shared" si="22"/>
        <v>5.2808252494105759</v>
      </c>
      <c r="AD49" s="20">
        <f t="shared" si="23"/>
        <v>0.21278986309514397</v>
      </c>
      <c r="AE49" s="2"/>
      <c r="AF49" s="2"/>
      <c r="AG49" s="2"/>
      <c r="AH49" s="8">
        <f t="shared" si="18"/>
        <v>30.636363636363637</v>
      </c>
      <c r="AI49" s="5">
        <f t="shared" si="18"/>
        <v>-236.75189792230677</v>
      </c>
      <c r="AJ49" s="8">
        <f t="shared" si="18"/>
        <v>186.37349397590361</v>
      </c>
    </row>
    <row r="50" spans="1:36" x14ac:dyDescent="0.2">
      <c r="A50" s="3">
        <v>35</v>
      </c>
      <c r="B50" s="19" t="s">
        <v>68</v>
      </c>
      <c r="C50" s="2">
        <v>73517</v>
      </c>
      <c r="D50" s="2" t="s">
        <v>119</v>
      </c>
      <c r="E50" s="2"/>
      <c r="F50" s="2"/>
      <c r="G50" s="2"/>
      <c r="I50" s="4">
        <v>15</v>
      </c>
      <c r="J50" s="23">
        <v>2057.3000000000002</v>
      </c>
      <c r="K50" s="4">
        <v>73</v>
      </c>
      <c r="L50" s="7"/>
      <c r="M50" s="18">
        <f t="shared" si="19"/>
        <v>137.15333333333334</v>
      </c>
      <c r="N50" s="15">
        <f t="shared" si="20"/>
        <v>28.18219178082192</v>
      </c>
      <c r="O50" s="8">
        <f t="shared" si="21"/>
        <v>4.8666666666666663</v>
      </c>
      <c r="Q50" s="10"/>
      <c r="S50" s="4"/>
      <c r="T50" s="23"/>
      <c r="U50" s="4"/>
      <c r="W50" s="18"/>
      <c r="X50" s="15"/>
      <c r="Y50" s="8"/>
      <c r="AC50" s="15">
        <f t="shared" si="22"/>
        <v>28.18219178082192</v>
      </c>
      <c r="AD50" s="20">
        <f t="shared" si="23"/>
        <v>1</v>
      </c>
      <c r="AE50" s="2"/>
      <c r="AF50" s="2"/>
      <c r="AG50" s="2"/>
      <c r="AH50" s="8"/>
      <c r="AI50" s="5"/>
      <c r="AJ50" s="8"/>
    </row>
    <row r="51" spans="1:36" x14ac:dyDescent="0.2">
      <c r="A51" s="3">
        <v>36</v>
      </c>
      <c r="B51" s="19" t="s">
        <v>5</v>
      </c>
      <c r="C51" s="2">
        <v>11897</v>
      </c>
      <c r="D51" s="2" t="s">
        <v>119</v>
      </c>
      <c r="E51" s="2"/>
      <c r="F51" s="2"/>
      <c r="G51" s="2"/>
      <c r="I51" s="4">
        <v>2649</v>
      </c>
      <c r="J51" s="23">
        <v>2483885.3900000006</v>
      </c>
      <c r="K51" s="4">
        <v>120875</v>
      </c>
      <c r="L51" s="7"/>
      <c r="M51" s="18">
        <f t="shared" si="19"/>
        <v>937.66907889769743</v>
      </c>
      <c r="N51" s="33">
        <f t="shared" si="20"/>
        <v>20.549206949327822</v>
      </c>
      <c r="O51" s="8">
        <f t="shared" si="21"/>
        <v>45.630426576066441</v>
      </c>
      <c r="Q51" s="10"/>
      <c r="S51" s="4">
        <v>4</v>
      </c>
      <c r="T51" s="23">
        <v>-569.87</v>
      </c>
      <c r="U51" s="4">
        <v>22</v>
      </c>
      <c r="W51" s="18">
        <f t="shared" ref="W51:W63" si="24">SUM(T51/S51)*-1</f>
        <v>142.4675</v>
      </c>
      <c r="X51" s="49">
        <f t="shared" ref="X51:X63" si="25">SUM(T51/U51)*-1</f>
        <v>25.903181818181817</v>
      </c>
      <c r="Y51" s="8">
        <f t="shared" ref="Y51:Y63" si="26">SUM(U51/S51)</f>
        <v>5.5</v>
      </c>
      <c r="AC51" s="15">
        <f t="shared" si="22"/>
        <v>-5.3539748688539959</v>
      </c>
      <c r="AD51" s="50">
        <f t="shared" si="23"/>
        <v>-0.26054411160763202</v>
      </c>
      <c r="AE51" s="2"/>
      <c r="AF51" s="2"/>
      <c r="AG51" s="2"/>
      <c r="AH51" s="8">
        <f t="shared" ref="AH51:AH63" si="27">SUM(I51/S51)</f>
        <v>662.25</v>
      </c>
      <c r="AI51" s="5">
        <f t="shared" ref="AI51:AI63" si="28">SUM(J51/T51)</f>
        <v>-4358.6877533472552</v>
      </c>
      <c r="AJ51" s="8">
        <f t="shared" ref="AJ51:AJ63" si="29">SUM(K51/U51)</f>
        <v>5494.318181818182</v>
      </c>
    </row>
    <row r="52" spans="1:36" x14ac:dyDescent="0.2">
      <c r="A52" s="3">
        <v>37</v>
      </c>
      <c r="B52" s="19" t="s">
        <v>46</v>
      </c>
      <c r="C52" s="2">
        <v>21512</v>
      </c>
      <c r="D52" s="2" t="s">
        <v>119</v>
      </c>
      <c r="E52" s="2"/>
      <c r="F52" s="2"/>
      <c r="G52" s="2"/>
      <c r="I52" s="4">
        <v>408</v>
      </c>
      <c r="J52" s="23">
        <v>424472.49000000017</v>
      </c>
      <c r="K52" s="4">
        <v>17305</v>
      </c>
      <c r="L52" s="7"/>
      <c r="M52" s="18">
        <f t="shared" si="19"/>
        <v>1040.3737500000004</v>
      </c>
      <c r="N52" s="15">
        <f t="shared" si="20"/>
        <v>24.528892805547539</v>
      </c>
      <c r="O52" s="8">
        <f t="shared" si="21"/>
        <v>42.41421568627451</v>
      </c>
      <c r="Q52" s="10"/>
      <c r="S52" s="4">
        <v>31</v>
      </c>
      <c r="T52" s="23">
        <v>-4783.6500000000005</v>
      </c>
      <c r="U52" s="4">
        <v>203</v>
      </c>
      <c r="W52" s="18">
        <f t="shared" si="24"/>
        <v>154.31129032258067</v>
      </c>
      <c r="X52" s="15">
        <f t="shared" si="25"/>
        <v>23.564778325123154</v>
      </c>
      <c r="Y52" s="8">
        <f t="shared" si="26"/>
        <v>6.5483870967741939</v>
      </c>
      <c r="AC52" s="15">
        <f t="shared" si="22"/>
        <v>0.96411448042438508</v>
      </c>
      <c r="AD52" s="20">
        <f t="shared" si="23"/>
        <v>3.9305258825475302E-2</v>
      </c>
      <c r="AE52" s="2"/>
      <c r="AF52" s="2"/>
      <c r="AG52" s="2"/>
      <c r="AH52" s="8">
        <f t="shared" si="27"/>
        <v>13.161290322580646</v>
      </c>
      <c r="AI52" s="5">
        <f t="shared" si="28"/>
        <v>-88.734019002226361</v>
      </c>
      <c r="AJ52" s="8">
        <f t="shared" si="29"/>
        <v>85.246305418719217</v>
      </c>
    </row>
    <row r="53" spans="1:36" x14ac:dyDescent="0.2">
      <c r="A53" s="3">
        <v>38</v>
      </c>
      <c r="B53" s="19" t="s">
        <v>54</v>
      </c>
      <c r="C53" s="2">
        <v>41557</v>
      </c>
      <c r="D53" s="2" t="s">
        <v>119</v>
      </c>
      <c r="E53" s="2"/>
      <c r="F53" s="2"/>
      <c r="G53" s="2"/>
      <c r="I53" s="4">
        <v>101</v>
      </c>
      <c r="J53" s="23">
        <v>113549.01000000008</v>
      </c>
      <c r="K53" s="4">
        <v>4577</v>
      </c>
      <c r="L53" s="7"/>
      <c r="M53" s="18">
        <f t="shared" si="19"/>
        <v>1124.2476237623771</v>
      </c>
      <c r="N53" s="15">
        <f t="shared" si="20"/>
        <v>24.808610443521975</v>
      </c>
      <c r="O53" s="8">
        <f t="shared" si="21"/>
        <v>45.316831683168317</v>
      </c>
      <c r="Q53" s="10"/>
      <c r="S53" s="4">
        <v>13</v>
      </c>
      <c r="T53" s="23">
        <v>-2755.54</v>
      </c>
      <c r="U53" s="4">
        <v>116</v>
      </c>
      <c r="W53" s="18">
        <f t="shared" si="24"/>
        <v>211.96461538461537</v>
      </c>
      <c r="X53" s="15">
        <f t="shared" si="25"/>
        <v>23.754655172413791</v>
      </c>
      <c r="Y53" s="8">
        <f t="shared" si="26"/>
        <v>8.9230769230769234</v>
      </c>
      <c r="AC53" s="15">
        <f t="shared" si="22"/>
        <v>1.0539552711081832</v>
      </c>
      <c r="AD53" s="20">
        <f t="shared" si="23"/>
        <v>4.2483446362607223E-2</v>
      </c>
      <c r="AE53" s="2"/>
      <c r="AF53" s="2"/>
      <c r="AG53" s="2"/>
      <c r="AH53" s="8">
        <f t="shared" si="27"/>
        <v>7.7692307692307692</v>
      </c>
      <c r="AI53" s="5">
        <f t="shared" si="28"/>
        <v>-41.207534639308477</v>
      </c>
      <c r="AJ53" s="8">
        <f t="shared" si="29"/>
        <v>39.456896551724135</v>
      </c>
    </row>
    <row r="54" spans="1:36" x14ac:dyDescent="0.2">
      <c r="A54" s="3">
        <v>39</v>
      </c>
      <c r="B54" s="19" t="s">
        <v>51</v>
      </c>
      <c r="C54" s="2">
        <v>40557</v>
      </c>
      <c r="D54" s="2" t="s">
        <v>119</v>
      </c>
      <c r="E54" s="2"/>
      <c r="F54" s="2"/>
      <c r="G54" s="2"/>
      <c r="I54" s="4">
        <v>193</v>
      </c>
      <c r="J54" s="23">
        <v>125141.9</v>
      </c>
      <c r="K54" s="4">
        <v>5089</v>
      </c>
      <c r="L54" s="7"/>
      <c r="M54" s="18">
        <f t="shared" si="19"/>
        <v>648.40362694300518</v>
      </c>
      <c r="N54" s="15">
        <f t="shared" si="20"/>
        <v>24.590666142660641</v>
      </c>
      <c r="O54" s="8">
        <f t="shared" si="21"/>
        <v>26.367875647668395</v>
      </c>
      <c r="Q54" s="10"/>
      <c r="S54" s="4">
        <v>8</v>
      </c>
      <c r="T54" s="23">
        <v>-571.75</v>
      </c>
      <c r="U54" s="4">
        <v>35</v>
      </c>
      <c r="W54" s="18">
        <f t="shared" si="24"/>
        <v>71.46875</v>
      </c>
      <c r="X54" s="15">
        <f t="shared" si="25"/>
        <v>16.335714285714285</v>
      </c>
      <c r="Y54" s="8">
        <f t="shared" si="26"/>
        <v>4.375</v>
      </c>
      <c r="AC54" s="15">
        <f t="shared" si="22"/>
        <v>8.2549518569463558</v>
      </c>
      <c r="AD54" s="20">
        <f t="shared" si="23"/>
        <v>0.33569451958137125</v>
      </c>
      <c r="AE54" s="2"/>
      <c r="AF54" s="2"/>
      <c r="AG54" s="2"/>
      <c r="AH54" s="8">
        <f t="shared" si="27"/>
        <v>24.125</v>
      </c>
      <c r="AI54" s="5">
        <f t="shared" si="28"/>
        <v>-218.87520769567118</v>
      </c>
      <c r="AJ54" s="8">
        <f t="shared" si="29"/>
        <v>145.4</v>
      </c>
    </row>
    <row r="55" spans="1:36" x14ac:dyDescent="0.2">
      <c r="A55" s="3">
        <v>40</v>
      </c>
      <c r="B55" s="19" t="s">
        <v>41</v>
      </c>
      <c r="C55" s="2">
        <v>12973</v>
      </c>
      <c r="D55" s="2" t="s">
        <v>119</v>
      </c>
      <c r="E55" s="2"/>
      <c r="F55" s="2"/>
      <c r="G55" s="2"/>
      <c r="I55" s="4">
        <v>1225</v>
      </c>
      <c r="J55" s="23">
        <v>136995.79999999938</v>
      </c>
      <c r="K55" s="4">
        <v>4308</v>
      </c>
      <c r="L55" s="7"/>
      <c r="M55" s="18">
        <f t="shared" si="19"/>
        <v>111.83330612244848</v>
      </c>
      <c r="N55" s="33">
        <f t="shared" si="20"/>
        <v>31.800324976787227</v>
      </c>
      <c r="O55" s="8">
        <f t="shared" si="21"/>
        <v>3.516734693877551</v>
      </c>
      <c r="Q55" s="10"/>
      <c r="S55" s="4">
        <v>7</v>
      </c>
      <c r="T55" s="23">
        <v>-408.25</v>
      </c>
      <c r="U55" s="4">
        <v>12</v>
      </c>
      <c r="W55" s="18">
        <f t="shared" si="24"/>
        <v>58.321428571428569</v>
      </c>
      <c r="X55" s="49">
        <f t="shared" si="25"/>
        <v>34.020833333333336</v>
      </c>
      <c r="Y55" s="8">
        <f t="shared" si="26"/>
        <v>1.7142857142857142</v>
      </c>
      <c r="AC55" s="15">
        <f t="shared" si="22"/>
        <v>-2.2205083565461088</v>
      </c>
      <c r="AD55" s="50">
        <f t="shared" si="23"/>
        <v>-6.9826593224030814E-2</v>
      </c>
      <c r="AE55" s="2"/>
      <c r="AF55" s="2"/>
      <c r="AG55" s="2"/>
      <c r="AH55" s="8">
        <f t="shared" si="27"/>
        <v>175</v>
      </c>
      <c r="AI55" s="5">
        <f t="shared" si="28"/>
        <v>-335.56840171463409</v>
      </c>
      <c r="AJ55" s="8">
        <f t="shared" si="29"/>
        <v>359</v>
      </c>
    </row>
    <row r="56" spans="1:36" x14ac:dyDescent="0.2">
      <c r="A56" s="3">
        <v>41</v>
      </c>
      <c r="B56" s="19" t="s">
        <v>26</v>
      </c>
      <c r="C56" s="2">
        <v>12268</v>
      </c>
      <c r="D56" s="2" t="s">
        <v>119</v>
      </c>
      <c r="E56" s="2"/>
      <c r="F56" s="2"/>
      <c r="G56" s="2"/>
      <c r="I56" s="4">
        <v>346</v>
      </c>
      <c r="J56" s="23">
        <v>399574.57999999996</v>
      </c>
      <c r="K56" s="4">
        <v>17403</v>
      </c>
      <c r="L56" s="7"/>
      <c r="M56" s="18">
        <f t="shared" si="19"/>
        <v>1154.8398265895953</v>
      </c>
      <c r="N56" s="15">
        <f t="shared" si="20"/>
        <v>22.9600976843073</v>
      </c>
      <c r="O56" s="8">
        <f t="shared" si="21"/>
        <v>50.297687861271676</v>
      </c>
      <c r="Q56" s="10"/>
      <c r="S56" s="4">
        <v>23</v>
      </c>
      <c r="T56" s="23">
        <v>-2055.0999999999995</v>
      </c>
      <c r="U56" s="4">
        <v>100</v>
      </c>
      <c r="W56" s="18">
        <f t="shared" si="24"/>
        <v>89.352173913043458</v>
      </c>
      <c r="X56" s="15">
        <f t="shared" si="25"/>
        <v>20.550999999999995</v>
      </c>
      <c r="Y56" s="8">
        <f t="shared" si="26"/>
        <v>4.3478260869565215</v>
      </c>
      <c r="AC56" s="15">
        <f t="shared" si="22"/>
        <v>2.4090976843073051</v>
      </c>
      <c r="AD56" s="20">
        <f t="shared" si="23"/>
        <v>0.10492541092078489</v>
      </c>
      <c r="AE56" s="2"/>
      <c r="AF56" s="2"/>
      <c r="AG56" s="2"/>
      <c r="AH56" s="8">
        <f t="shared" si="27"/>
        <v>15.043478260869565</v>
      </c>
      <c r="AI56" s="5">
        <f t="shared" si="28"/>
        <v>-194.43072356576326</v>
      </c>
      <c r="AJ56" s="8">
        <f t="shared" si="29"/>
        <v>174.03</v>
      </c>
    </row>
    <row r="57" spans="1:36" x14ac:dyDescent="0.2">
      <c r="A57" s="3">
        <v>42</v>
      </c>
      <c r="B57" s="19" t="s">
        <v>25</v>
      </c>
      <c r="C57" s="2">
        <v>12208</v>
      </c>
      <c r="D57" s="2" t="s">
        <v>119</v>
      </c>
      <c r="E57" s="2"/>
      <c r="F57" s="2"/>
      <c r="G57" s="2"/>
      <c r="I57" s="4">
        <v>317</v>
      </c>
      <c r="J57" s="23">
        <v>336278.18000000011</v>
      </c>
      <c r="K57" s="4">
        <v>13743</v>
      </c>
      <c r="L57" s="7"/>
      <c r="M57" s="18">
        <f t="shared" si="19"/>
        <v>1060.8144479495272</v>
      </c>
      <c r="N57" s="33">
        <f t="shared" si="20"/>
        <v>24.469051880957586</v>
      </c>
      <c r="O57" s="8">
        <f t="shared" si="21"/>
        <v>43.353312302839115</v>
      </c>
      <c r="Q57" s="10"/>
      <c r="S57" s="4">
        <v>17</v>
      </c>
      <c r="T57" s="23">
        <v>-1765.95</v>
      </c>
      <c r="U57" s="4">
        <v>69</v>
      </c>
      <c r="W57" s="18">
        <f t="shared" si="24"/>
        <v>103.87941176470588</v>
      </c>
      <c r="X57" s="49">
        <f t="shared" si="25"/>
        <v>25.593478260869567</v>
      </c>
      <c r="Y57" s="8">
        <f t="shared" si="26"/>
        <v>4.0588235294117645</v>
      </c>
      <c r="AC57" s="15">
        <f t="shared" si="22"/>
        <v>-1.1244263799119807</v>
      </c>
      <c r="AD57" s="50">
        <f t="shared" si="23"/>
        <v>-4.5953001586752806E-2</v>
      </c>
      <c r="AE57" s="2"/>
      <c r="AF57" s="2"/>
      <c r="AG57" s="2"/>
      <c r="AH57" s="8">
        <f t="shared" si="27"/>
        <v>18.647058823529413</v>
      </c>
      <c r="AI57" s="5">
        <f t="shared" si="28"/>
        <v>-190.42338684560724</v>
      </c>
      <c r="AJ57" s="8">
        <f t="shared" si="29"/>
        <v>199.17391304347825</v>
      </c>
    </row>
    <row r="58" spans="1:36" x14ac:dyDescent="0.2">
      <c r="A58" s="3">
        <v>43</v>
      </c>
      <c r="B58" s="19" t="s">
        <v>24</v>
      </c>
      <c r="C58" s="2">
        <v>12207</v>
      </c>
      <c r="D58" s="2" t="s">
        <v>119</v>
      </c>
      <c r="E58" s="2"/>
      <c r="F58" s="2"/>
      <c r="G58" s="2"/>
      <c r="I58" s="4">
        <v>281</v>
      </c>
      <c r="J58" s="23">
        <v>326510.16999999975</v>
      </c>
      <c r="K58" s="4">
        <v>13501</v>
      </c>
      <c r="L58" s="7"/>
      <c r="M58" s="18">
        <f t="shared" si="19"/>
        <v>1161.9579003558711</v>
      </c>
      <c r="N58" s="15">
        <f t="shared" si="20"/>
        <v>24.18414710021478</v>
      </c>
      <c r="O58" s="8">
        <f t="shared" si="21"/>
        <v>48.046263345195733</v>
      </c>
      <c r="Q58" s="10"/>
      <c r="S58" s="4">
        <v>16</v>
      </c>
      <c r="T58" s="23">
        <v>-1593.3000000000002</v>
      </c>
      <c r="U58" s="4">
        <v>66</v>
      </c>
      <c r="W58" s="18">
        <f t="shared" si="24"/>
        <v>99.581250000000011</v>
      </c>
      <c r="X58" s="15">
        <f t="shared" si="25"/>
        <v>24.140909090909094</v>
      </c>
      <c r="Y58" s="8">
        <f t="shared" si="26"/>
        <v>4.125</v>
      </c>
      <c r="AC58" s="15">
        <f t="shared" si="22"/>
        <v>4.3238009305685665E-2</v>
      </c>
      <c r="AD58" s="20">
        <f t="shared" si="23"/>
        <v>1.7878657918559248E-3</v>
      </c>
      <c r="AE58" s="2"/>
      <c r="AF58" s="2"/>
      <c r="AG58" s="2"/>
      <c r="AH58" s="8">
        <f t="shared" si="27"/>
        <v>17.5625</v>
      </c>
      <c r="AI58" s="5">
        <f t="shared" si="28"/>
        <v>-204.92698801230134</v>
      </c>
      <c r="AJ58" s="8">
        <f t="shared" si="29"/>
        <v>204.56060606060606</v>
      </c>
    </row>
    <row r="59" spans="1:36" x14ac:dyDescent="0.2">
      <c r="A59" s="3">
        <v>44</v>
      </c>
      <c r="B59" s="19" t="s">
        <v>7</v>
      </c>
      <c r="C59" s="2">
        <v>11906</v>
      </c>
      <c r="D59" s="2" t="s">
        <v>119</v>
      </c>
      <c r="E59" s="2"/>
      <c r="F59" s="2"/>
      <c r="G59" s="2"/>
      <c r="I59" s="4">
        <v>82</v>
      </c>
      <c r="J59" s="23">
        <v>46223.99</v>
      </c>
      <c r="K59" s="4">
        <v>2213</v>
      </c>
      <c r="L59" s="7"/>
      <c r="M59" s="18">
        <f t="shared" si="19"/>
        <v>563.70719512195114</v>
      </c>
      <c r="N59" s="33">
        <f t="shared" si="20"/>
        <v>20.887478535924085</v>
      </c>
      <c r="O59" s="8">
        <f t="shared" si="21"/>
        <v>26.987804878048781</v>
      </c>
      <c r="Q59" s="10"/>
      <c r="S59" s="4">
        <v>2</v>
      </c>
      <c r="T59" s="23">
        <v>-112.6</v>
      </c>
      <c r="U59" s="4">
        <v>2</v>
      </c>
      <c r="W59" s="18">
        <f t="shared" si="24"/>
        <v>56.3</v>
      </c>
      <c r="X59" s="49">
        <f t="shared" si="25"/>
        <v>56.3</v>
      </c>
      <c r="Y59" s="8">
        <f t="shared" si="26"/>
        <v>1</v>
      </c>
      <c r="AC59" s="15">
        <f t="shared" si="22"/>
        <v>-35.412521464075908</v>
      </c>
      <c r="AD59" s="50">
        <f t="shared" si="23"/>
        <v>-1.6953947506478775</v>
      </c>
      <c r="AE59" s="2"/>
      <c r="AF59" s="2"/>
      <c r="AG59" s="2"/>
      <c r="AH59" s="8">
        <f t="shared" si="27"/>
        <v>41</v>
      </c>
      <c r="AI59" s="5">
        <f t="shared" si="28"/>
        <v>-410.51500888099469</v>
      </c>
      <c r="AJ59" s="8">
        <f t="shared" si="29"/>
        <v>1106.5</v>
      </c>
    </row>
    <row r="60" spans="1:36" x14ac:dyDescent="0.2">
      <c r="A60" s="3">
        <v>45</v>
      </c>
      <c r="B60" s="19" t="s">
        <v>8</v>
      </c>
      <c r="C60" s="2">
        <v>11910</v>
      </c>
      <c r="D60" s="2" t="s">
        <v>119</v>
      </c>
      <c r="E60" s="2"/>
      <c r="F60" s="2"/>
      <c r="G60" s="2"/>
      <c r="I60" s="4">
        <v>1809</v>
      </c>
      <c r="J60" s="23">
        <v>1646192.629999998</v>
      </c>
      <c r="K60" s="4">
        <v>81075</v>
      </c>
      <c r="L60" s="7"/>
      <c r="M60" s="18">
        <f t="shared" si="19"/>
        <v>910.00145384190046</v>
      </c>
      <c r="N60" s="15">
        <f t="shared" si="20"/>
        <v>20.304565279062572</v>
      </c>
      <c r="O60" s="8">
        <f t="shared" si="21"/>
        <v>44.817578772802655</v>
      </c>
      <c r="Q60" s="10"/>
      <c r="S60" s="4">
        <v>3</v>
      </c>
      <c r="T60" s="23">
        <v>-81.849999999999994</v>
      </c>
      <c r="U60" s="4">
        <v>15</v>
      </c>
      <c r="W60" s="18">
        <f t="shared" si="24"/>
        <v>27.283333333333331</v>
      </c>
      <c r="X60" s="15">
        <f t="shared" si="25"/>
        <v>5.4566666666666661</v>
      </c>
      <c r="Y60" s="8">
        <f t="shared" si="26"/>
        <v>5</v>
      </c>
      <c r="AC60" s="15">
        <f t="shared" si="22"/>
        <v>14.847898612395905</v>
      </c>
      <c r="AD60" s="20">
        <f t="shared" si="23"/>
        <v>0.73125912366646872</v>
      </c>
      <c r="AE60" s="2"/>
      <c r="AF60" s="2"/>
      <c r="AG60" s="2"/>
      <c r="AH60" s="8">
        <f t="shared" si="27"/>
        <v>603</v>
      </c>
      <c r="AI60" s="5">
        <f t="shared" si="28"/>
        <v>-20112.31069028709</v>
      </c>
      <c r="AJ60" s="8">
        <f t="shared" si="29"/>
        <v>5405</v>
      </c>
    </row>
    <row r="61" spans="1:36" x14ac:dyDescent="0.2">
      <c r="A61" s="3">
        <v>46</v>
      </c>
      <c r="B61" s="19" t="s">
        <v>62</v>
      </c>
      <c r="C61" s="2">
        <v>44721</v>
      </c>
      <c r="D61" s="2" t="s">
        <v>119</v>
      </c>
      <c r="E61" s="2"/>
      <c r="F61" s="2"/>
      <c r="G61" s="2"/>
      <c r="I61" s="4">
        <v>70</v>
      </c>
      <c r="J61" s="23">
        <v>52376.610000000015</v>
      </c>
      <c r="K61" s="4">
        <v>2293</v>
      </c>
      <c r="L61" s="7"/>
      <c r="M61" s="18">
        <f t="shared" si="19"/>
        <v>748.23728571428592</v>
      </c>
      <c r="N61" s="15">
        <f t="shared" si="20"/>
        <v>22.841958133449637</v>
      </c>
      <c r="O61" s="8">
        <f t="shared" si="21"/>
        <v>32.75714285714286</v>
      </c>
      <c r="Q61" s="10"/>
      <c r="S61" s="4">
        <v>2</v>
      </c>
      <c r="T61" s="23">
        <v>-1151.6600000000001</v>
      </c>
      <c r="U61" s="4">
        <v>86</v>
      </c>
      <c r="W61" s="18">
        <f t="shared" si="24"/>
        <v>575.83000000000004</v>
      </c>
      <c r="X61" s="15">
        <f t="shared" si="25"/>
        <v>13.391395348837211</v>
      </c>
      <c r="Y61" s="8">
        <f t="shared" si="26"/>
        <v>43</v>
      </c>
      <c r="AC61" s="15">
        <f t="shared" si="22"/>
        <v>9.4505627846124263</v>
      </c>
      <c r="AD61" s="20">
        <f t="shared" si="23"/>
        <v>0.41373698040244083</v>
      </c>
      <c r="AE61" s="2"/>
      <c r="AF61" s="2"/>
      <c r="AG61" s="2"/>
      <c r="AH61" s="8">
        <f t="shared" si="27"/>
        <v>35</v>
      </c>
      <c r="AI61" s="5">
        <f t="shared" si="28"/>
        <v>-45.479229981070809</v>
      </c>
      <c r="AJ61" s="8">
        <f t="shared" si="29"/>
        <v>26.662790697674417</v>
      </c>
    </row>
    <row r="62" spans="1:36" x14ac:dyDescent="0.2">
      <c r="A62" s="3">
        <v>47</v>
      </c>
      <c r="B62" s="19" t="s">
        <v>42</v>
      </c>
      <c r="C62" s="2">
        <v>13648</v>
      </c>
      <c r="D62" s="2" t="s">
        <v>119</v>
      </c>
      <c r="E62" s="2"/>
      <c r="F62" s="2"/>
      <c r="G62" s="2"/>
      <c r="I62" s="4">
        <v>148</v>
      </c>
      <c r="J62" s="23">
        <v>39024.700000000012</v>
      </c>
      <c r="K62" s="4">
        <v>1332</v>
      </c>
      <c r="L62" s="7"/>
      <c r="M62" s="18">
        <f t="shared" si="19"/>
        <v>263.68040540540551</v>
      </c>
      <c r="N62" s="33">
        <f t="shared" si="20"/>
        <v>29.29782282282283</v>
      </c>
      <c r="O62" s="8">
        <f t="shared" si="21"/>
        <v>9</v>
      </c>
      <c r="Q62" s="10"/>
      <c r="S62" s="4">
        <v>2</v>
      </c>
      <c r="T62" s="23">
        <v>-66.5</v>
      </c>
      <c r="U62" s="4">
        <v>2</v>
      </c>
      <c r="W62" s="18">
        <f t="shared" si="24"/>
        <v>33.25</v>
      </c>
      <c r="X62" s="49">
        <f t="shared" si="25"/>
        <v>33.25</v>
      </c>
      <c r="Y62" s="8">
        <f t="shared" si="26"/>
        <v>1</v>
      </c>
      <c r="AC62" s="15">
        <f t="shared" si="22"/>
        <v>-3.9521771771771697</v>
      </c>
      <c r="AD62" s="50">
        <f t="shared" si="23"/>
        <v>-0.13489661675810419</v>
      </c>
      <c r="AE62" s="2"/>
      <c r="AF62" s="2"/>
      <c r="AG62" s="2"/>
      <c r="AH62" s="8">
        <f t="shared" si="27"/>
        <v>74</v>
      </c>
      <c r="AI62" s="5">
        <f t="shared" si="28"/>
        <v>-586.83759398496261</v>
      </c>
      <c r="AJ62" s="8">
        <f t="shared" si="29"/>
        <v>666</v>
      </c>
    </row>
    <row r="63" spans="1:36" x14ac:dyDescent="0.2">
      <c r="A63" s="3">
        <v>48</v>
      </c>
      <c r="B63" s="19" t="s">
        <v>15</v>
      </c>
      <c r="C63" s="2">
        <v>12028</v>
      </c>
      <c r="D63" s="2" t="s">
        <v>119</v>
      </c>
      <c r="E63" s="2"/>
      <c r="F63" s="2"/>
      <c r="G63" s="2"/>
      <c r="I63" s="4">
        <v>1342</v>
      </c>
      <c r="J63" s="23">
        <v>1275234.1999999892</v>
      </c>
      <c r="K63" s="4">
        <v>33345</v>
      </c>
      <c r="L63" s="7"/>
      <c r="M63" s="18">
        <f t="shared" si="19"/>
        <v>950.24903129656423</v>
      </c>
      <c r="N63" s="15">
        <f t="shared" si="20"/>
        <v>38.243640725745664</v>
      </c>
      <c r="O63" s="8">
        <f t="shared" si="21"/>
        <v>24.847242921013414</v>
      </c>
      <c r="Q63" s="10"/>
      <c r="S63" s="4">
        <v>4</v>
      </c>
      <c r="T63" s="23">
        <v>-95.36999999999999</v>
      </c>
      <c r="U63" s="4">
        <v>17</v>
      </c>
      <c r="W63" s="18">
        <f t="shared" si="24"/>
        <v>23.842499999999998</v>
      </c>
      <c r="X63" s="15">
        <f t="shared" si="25"/>
        <v>5.6099999999999994</v>
      </c>
      <c r="Y63" s="8">
        <f t="shared" si="26"/>
        <v>4.25</v>
      </c>
      <c r="AC63" s="15">
        <f t="shared" si="22"/>
        <v>32.633640725745664</v>
      </c>
      <c r="AD63" s="20">
        <f t="shared" si="23"/>
        <v>0.85330894513337108</v>
      </c>
      <c r="AE63" s="2"/>
      <c r="AF63" s="2"/>
      <c r="AG63" s="2"/>
      <c r="AH63" s="8">
        <f t="shared" si="27"/>
        <v>335.5</v>
      </c>
      <c r="AI63" s="5">
        <f t="shared" si="28"/>
        <v>-13371.439656076223</v>
      </c>
      <c r="AJ63" s="8">
        <f t="shared" si="29"/>
        <v>1961.4705882352941</v>
      </c>
    </row>
    <row r="64" spans="1:36" x14ac:dyDescent="0.2">
      <c r="A64" s="3">
        <v>49</v>
      </c>
      <c r="B64" s="19" t="s">
        <v>40</v>
      </c>
      <c r="C64" s="2">
        <v>12818</v>
      </c>
      <c r="D64" s="2" t="s">
        <v>119</v>
      </c>
      <c r="E64" s="2"/>
      <c r="F64" s="2"/>
      <c r="G64" s="2"/>
      <c r="I64" s="4">
        <v>300</v>
      </c>
      <c r="J64" s="23">
        <v>45716.999999999985</v>
      </c>
      <c r="K64" s="4">
        <v>3334</v>
      </c>
      <c r="L64" s="7"/>
      <c r="M64" s="18">
        <f t="shared" si="19"/>
        <v>152.38999999999996</v>
      </c>
      <c r="N64" s="15">
        <f t="shared" si="20"/>
        <v>13.712357528494296</v>
      </c>
      <c r="O64" s="8">
        <f t="shared" si="21"/>
        <v>11.113333333333333</v>
      </c>
      <c r="Q64" s="10"/>
      <c r="S64" s="4"/>
      <c r="T64" s="23"/>
      <c r="U64" s="4"/>
      <c r="W64" s="18"/>
      <c r="X64" s="15"/>
      <c r="Y64" s="8"/>
      <c r="AC64" s="15">
        <f t="shared" si="22"/>
        <v>13.712357528494296</v>
      </c>
      <c r="AD64" s="20">
        <f t="shared" si="23"/>
        <v>1</v>
      </c>
      <c r="AE64" s="2"/>
      <c r="AF64" s="2"/>
      <c r="AG64" s="2"/>
      <c r="AH64" s="8"/>
      <c r="AI64" s="5"/>
      <c r="AJ64" s="8"/>
    </row>
    <row r="65" spans="1:36" x14ac:dyDescent="0.2">
      <c r="A65" s="3">
        <v>50</v>
      </c>
      <c r="B65" s="19" t="s">
        <v>9</v>
      </c>
      <c r="C65" s="2">
        <v>11912</v>
      </c>
      <c r="D65" s="2" t="s">
        <v>119</v>
      </c>
      <c r="E65" s="2"/>
      <c r="F65" s="2"/>
      <c r="G65" s="2"/>
      <c r="I65" s="4">
        <v>212</v>
      </c>
      <c r="J65" s="23">
        <v>40415.569999999971</v>
      </c>
      <c r="K65" s="4">
        <v>1525</v>
      </c>
      <c r="L65" s="7"/>
      <c r="M65" s="18">
        <f t="shared" si="19"/>
        <v>190.63948113207533</v>
      </c>
      <c r="N65" s="15">
        <f t="shared" si="20"/>
        <v>26.502013114754078</v>
      </c>
      <c r="O65" s="8">
        <f t="shared" si="21"/>
        <v>7.1933962264150946</v>
      </c>
      <c r="Q65" s="10"/>
      <c r="S65" s="4"/>
      <c r="T65" s="23"/>
      <c r="U65" s="4"/>
      <c r="W65" s="18"/>
      <c r="X65" s="15"/>
      <c r="Y65" s="8"/>
      <c r="AC65" s="15">
        <f t="shared" si="22"/>
        <v>26.502013114754078</v>
      </c>
      <c r="AD65" s="20">
        <f t="shared" si="23"/>
        <v>1</v>
      </c>
      <c r="AE65" s="2"/>
      <c r="AF65" s="2"/>
      <c r="AG65" s="2"/>
      <c r="AH65" s="8"/>
      <c r="AI65" s="5"/>
      <c r="AJ65" s="8"/>
    </row>
    <row r="66" spans="1:36" x14ac:dyDescent="0.2">
      <c r="A66" s="3">
        <v>51</v>
      </c>
      <c r="B66" s="19" t="s">
        <v>10</v>
      </c>
      <c r="C66" s="2">
        <v>11913</v>
      </c>
      <c r="D66" s="2" t="s">
        <v>119</v>
      </c>
      <c r="E66" s="2"/>
      <c r="F66" s="2"/>
      <c r="G66" s="2"/>
      <c r="I66" s="4">
        <v>745</v>
      </c>
      <c r="J66" s="23">
        <v>348703.55</v>
      </c>
      <c r="K66" s="4">
        <v>17023</v>
      </c>
      <c r="L66" s="7"/>
      <c r="M66" s="18">
        <f t="shared" si="19"/>
        <v>468.05845637583889</v>
      </c>
      <c r="N66" s="15">
        <f t="shared" si="20"/>
        <v>20.484259531222463</v>
      </c>
      <c r="O66" s="8">
        <f t="shared" si="21"/>
        <v>22.8496644295302</v>
      </c>
      <c r="Q66" s="10"/>
      <c r="S66" s="4">
        <v>10</v>
      </c>
      <c r="T66" s="23">
        <v>-971.00000000000011</v>
      </c>
      <c r="U66" s="4">
        <v>77</v>
      </c>
      <c r="W66" s="18">
        <f>SUM(T66/S66)*-1</f>
        <v>97.100000000000009</v>
      </c>
      <c r="X66" s="15">
        <f>SUM(T66/U66)*-1</f>
        <v>12.610389610389612</v>
      </c>
      <c r="Y66" s="8">
        <f>SUM(U66/S66)</f>
        <v>7.7</v>
      </c>
      <c r="AC66" s="15">
        <f t="shared" si="22"/>
        <v>7.8738699208328509</v>
      </c>
      <c r="AD66" s="20">
        <f t="shared" si="23"/>
        <v>0.38438635816107297</v>
      </c>
      <c r="AE66" s="2"/>
      <c r="AF66" s="2"/>
      <c r="AG66" s="2"/>
      <c r="AH66" s="8">
        <f t="shared" ref="AH66:AJ68" si="30">SUM(I66/S66)</f>
        <v>74.5</v>
      </c>
      <c r="AI66" s="5">
        <f t="shared" si="30"/>
        <v>-359.11797116374868</v>
      </c>
      <c r="AJ66" s="8">
        <f t="shared" si="30"/>
        <v>221.07792207792207</v>
      </c>
    </row>
    <row r="67" spans="1:36" x14ac:dyDescent="0.2">
      <c r="A67" s="3">
        <v>52</v>
      </c>
      <c r="B67" s="19" t="s">
        <v>11</v>
      </c>
      <c r="C67" s="2">
        <v>11915</v>
      </c>
      <c r="D67" s="2" t="s">
        <v>119</v>
      </c>
      <c r="E67" s="2"/>
      <c r="F67" s="2"/>
      <c r="G67" s="2"/>
      <c r="I67" s="4">
        <v>478</v>
      </c>
      <c r="J67" s="23">
        <v>224149.24000000002</v>
      </c>
      <c r="K67" s="4">
        <v>10543</v>
      </c>
      <c r="L67" s="7"/>
      <c r="M67" s="18">
        <f t="shared" si="19"/>
        <v>468.93146443514649</v>
      </c>
      <c r="N67" s="15">
        <f t="shared" si="20"/>
        <v>21.260479939296218</v>
      </c>
      <c r="O67" s="8">
        <f t="shared" si="21"/>
        <v>22.056485355648537</v>
      </c>
      <c r="Q67" s="10"/>
      <c r="S67" s="4">
        <v>7</v>
      </c>
      <c r="T67" s="23">
        <v>-612.32000000000005</v>
      </c>
      <c r="U67" s="4">
        <v>65</v>
      </c>
      <c r="W67" s="18">
        <f>SUM(T67/S67)*-1</f>
        <v>87.474285714285728</v>
      </c>
      <c r="X67" s="15">
        <f>SUM(T67/U67)*-1</f>
        <v>9.4203076923076932</v>
      </c>
      <c r="Y67" s="8">
        <f>SUM(U67/S67)</f>
        <v>9.2857142857142865</v>
      </c>
      <c r="AC67" s="15">
        <f t="shared" si="22"/>
        <v>11.840172246988525</v>
      </c>
      <c r="AD67" s="20">
        <f t="shared" si="23"/>
        <v>0.55690992304948261</v>
      </c>
      <c r="AE67" s="2"/>
      <c r="AF67" s="2"/>
      <c r="AG67" s="2"/>
      <c r="AH67" s="8">
        <f t="shared" si="30"/>
        <v>68.285714285714292</v>
      </c>
      <c r="AI67" s="5">
        <f t="shared" si="30"/>
        <v>-366.06552129605433</v>
      </c>
      <c r="AJ67" s="8">
        <f t="shared" si="30"/>
        <v>162.19999999999999</v>
      </c>
    </row>
    <row r="68" spans="1:36" x14ac:dyDescent="0.2">
      <c r="A68" s="3">
        <v>53</v>
      </c>
      <c r="B68" s="19" t="s">
        <v>36</v>
      </c>
      <c r="C68" s="2">
        <v>12570</v>
      </c>
      <c r="D68" s="2" t="s">
        <v>119</v>
      </c>
      <c r="E68" s="2"/>
      <c r="F68" s="2"/>
      <c r="G68" s="2"/>
      <c r="I68" s="4">
        <v>13</v>
      </c>
      <c r="J68" s="23">
        <v>9149.4500000000007</v>
      </c>
      <c r="K68" s="4">
        <v>449</v>
      </c>
      <c r="L68" s="7"/>
      <c r="M68" s="18">
        <f t="shared" si="19"/>
        <v>703.80384615384617</v>
      </c>
      <c r="N68" s="33">
        <f t="shared" si="20"/>
        <v>20.377394209354122</v>
      </c>
      <c r="O68" s="8">
        <f t="shared" si="21"/>
        <v>34.53846153846154</v>
      </c>
      <c r="Q68" s="10"/>
      <c r="S68" s="4">
        <v>1</v>
      </c>
      <c r="T68" s="23">
        <v>-257.45</v>
      </c>
      <c r="U68" s="4">
        <v>11</v>
      </c>
      <c r="W68" s="18">
        <f>SUM(T68/S68)*-1</f>
        <v>257.45</v>
      </c>
      <c r="X68" s="49">
        <f>SUM(T68/U68)*-1</f>
        <v>23.404545454545453</v>
      </c>
      <c r="Y68" s="8">
        <f>SUM(U68/S68)</f>
        <v>11</v>
      </c>
      <c r="AC68" s="15">
        <f t="shared" si="22"/>
        <v>-3.0271512451913303</v>
      </c>
      <c r="AD68" s="50">
        <f t="shared" si="23"/>
        <v>-0.14855438404394877</v>
      </c>
      <c r="AE68" s="2"/>
      <c r="AF68" s="2"/>
      <c r="AG68" s="2"/>
      <c r="AH68" s="8">
        <f t="shared" si="30"/>
        <v>13</v>
      </c>
      <c r="AI68" s="5">
        <f t="shared" si="30"/>
        <v>-35.538745387453879</v>
      </c>
      <c r="AJ68" s="8">
        <f t="shared" si="30"/>
        <v>40.81818181818182</v>
      </c>
    </row>
    <row r="69" spans="1:36" x14ac:dyDescent="0.2">
      <c r="A69" s="3">
        <v>54</v>
      </c>
      <c r="B69" s="19" t="s">
        <v>61</v>
      </c>
      <c r="C69" s="2">
        <v>43977</v>
      </c>
      <c r="D69" s="2" t="s">
        <v>119</v>
      </c>
      <c r="E69" s="2"/>
      <c r="F69" s="2"/>
      <c r="G69" s="2"/>
      <c r="I69" s="4">
        <v>8</v>
      </c>
      <c r="J69" s="23">
        <v>558.9</v>
      </c>
      <c r="K69" s="4">
        <v>19</v>
      </c>
      <c r="L69" s="7"/>
      <c r="M69" s="18">
        <f t="shared" si="19"/>
        <v>69.862499999999997</v>
      </c>
      <c r="N69" s="15">
        <f t="shared" si="20"/>
        <v>29.41578947368421</v>
      </c>
      <c r="O69" s="8">
        <f t="shared" si="21"/>
        <v>2.375</v>
      </c>
      <c r="Q69" s="10"/>
      <c r="S69" s="4"/>
      <c r="T69" s="23"/>
      <c r="U69" s="4"/>
      <c r="W69" s="18"/>
      <c r="X69" s="15"/>
      <c r="Y69" s="8"/>
      <c r="AC69" s="15">
        <f t="shared" si="22"/>
        <v>29.41578947368421</v>
      </c>
      <c r="AD69" s="20">
        <f t="shared" si="23"/>
        <v>1</v>
      </c>
      <c r="AE69" s="2"/>
      <c r="AF69" s="2"/>
      <c r="AG69" s="2"/>
      <c r="AH69" s="8"/>
      <c r="AI69" s="5"/>
      <c r="AJ69" s="8"/>
    </row>
    <row r="70" spans="1:36" x14ac:dyDescent="0.2">
      <c r="A70" s="3">
        <v>55</v>
      </c>
      <c r="B70" s="19" t="s">
        <v>48</v>
      </c>
      <c r="C70" s="2">
        <v>22678</v>
      </c>
      <c r="D70" s="2" t="s">
        <v>119</v>
      </c>
      <c r="E70" s="2"/>
      <c r="F70" s="2"/>
      <c r="G70" s="2"/>
      <c r="I70" s="4">
        <v>37</v>
      </c>
      <c r="J70" s="23">
        <v>14031.149999999998</v>
      </c>
      <c r="K70" s="4">
        <v>673</v>
      </c>
      <c r="L70" s="7"/>
      <c r="M70" s="18">
        <f t="shared" si="19"/>
        <v>379.22027027027019</v>
      </c>
      <c r="N70" s="33">
        <f t="shared" si="20"/>
        <v>20.84866270430906</v>
      </c>
      <c r="O70" s="8">
        <f t="shared" si="21"/>
        <v>18.189189189189189</v>
      </c>
      <c r="Q70" s="10"/>
      <c r="S70" s="4">
        <v>2</v>
      </c>
      <c r="T70" s="23">
        <v>-67.800000000000011</v>
      </c>
      <c r="U70" s="4">
        <v>3</v>
      </c>
      <c r="W70" s="18">
        <f>SUM(T70/S70)*-1</f>
        <v>33.900000000000006</v>
      </c>
      <c r="X70" s="49">
        <f>SUM(T70/U70)*-1</f>
        <v>22.600000000000005</v>
      </c>
      <c r="Y70" s="8">
        <f>SUM(U70/S70)</f>
        <v>1.5</v>
      </c>
      <c r="AC70" s="15">
        <f t="shared" si="22"/>
        <v>-1.751337295690945</v>
      </c>
      <c r="AD70" s="50">
        <f t="shared" si="23"/>
        <v>-8.4002380417856432E-2</v>
      </c>
      <c r="AE70" s="2"/>
      <c r="AF70" s="2"/>
      <c r="AG70" s="2"/>
      <c r="AH70" s="8">
        <f t="shared" ref="AH70:AJ72" si="31">SUM(I70/S70)</f>
        <v>18.5</v>
      </c>
      <c r="AI70" s="5">
        <f t="shared" si="31"/>
        <v>-206.94911504424772</v>
      </c>
      <c r="AJ70" s="8">
        <f t="shared" si="31"/>
        <v>224.33333333333334</v>
      </c>
    </row>
    <row r="71" spans="1:36" x14ac:dyDescent="0.2">
      <c r="A71" s="3">
        <v>56</v>
      </c>
      <c r="B71" s="19" t="s">
        <v>12</v>
      </c>
      <c r="C71" s="2">
        <v>11918</v>
      </c>
      <c r="D71" s="2" t="s">
        <v>119</v>
      </c>
      <c r="E71" s="2"/>
      <c r="F71" s="2"/>
      <c r="G71" s="2"/>
      <c r="I71" s="4">
        <v>372</v>
      </c>
      <c r="J71" s="23">
        <v>167854.20999999993</v>
      </c>
      <c r="K71" s="4">
        <v>8002</v>
      </c>
      <c r="L71" s="7"/>
      <c r="M71" s="18">
        <f t="shared" si="19"/>
        <v>451.22099462365571</v>
      </c>
      <c r="N71" s="15">
        <f t="shared" si="20"/>
        <v>20.976532116970748</v>
      </c>
      <c r="O71" s="8">
        <f t="shared" si="21"/>
        <v>21.510752688172044</v>
      </c>
      <c r="Q71" s="10"/>
      <c r="S71" s="4">
        <v>15</v>
      </c>
      <c r="T71" s="23">
        <v>-4033.3500000000004</v>
      </c>
      <c r="U71" s="4">
        <v>197</v>
      </c>
      <c r="W71" s="18">
        <f>SUM(T71/S71)*-1</f>
        <v>268.89000000000004</v>
      </c>
      <c r="X71" s="15">
        <f>SUM(T71/U71)*-1</f>
        <v>20.473857868020307</v>
      </c>
      <c r="Y71" s="8">
        <f>SUM(U71/S71)</f>
        <v>13.133333333333333</v>
      </c>
      <c r="AC71" s="15">
        <f t="shared" si="22"/>
        <v>0.50267424895044144</v>
      </c>
      <c r="AD71" s="20">
        <f t="shared" si="23"/>
        <v>2.3963648812272472E-2</v>
      </c>
      <c r="AE71" s="2"/>
      <c r="AF71" s="2"/>
      <c r="AG71" s="2"/>
      <c r="AH71" s="8">
        <f t="shared" si="31"/>
        <v>24.8</v>
      </c>
      <c r="AI71" s="5">
        <f t="shared" si="31"/>
        <v>-41.616574311676381</v>
      </c>
      <c r="AJ71" s="8">
        <f t="shared" si="31"/>
        <v>40.619289340101524</v>
      </c>
    </row>
    <row r="72" spans="1:36" x14ac:dyDescent="0.2">
      <c r="A72" s="3">
        <v>57</v>
      </c>
      <c r="B72" s="19" t="s">
        <v>38</v>
      </c>
      <c r="C72" s="2">
        <v>12696</v>
      </c>
      <c r="D72" s="2" t="s">
        <v>119</v>
      </c>
      <c r="E72" s="2"/>
      <c r="F72" s="2"/>
      <c r="G72" s="2"/>
      <c r="I72" s="4">
        <v>257</v>
      </c>
      <c r="J72" s="23">
        <v>136668.04999999993</v>
      </c>
      <c r="K72" s="4">
        <v>6085</v>
      </c>
      <c r="L72" s="7"/>
      <c r="M72" s="18">
        <f t="shared" si="19"/>
        <v>531.78229571984411</v>
      </c>
      <c r="N72" s="33">
        <f t="shared" si="20"/>
        <v>22.459827444535733</v>
      </c>
      <c r="O72" s="8">
        <f t="shared" si="21"/>
        <v>23.677042801556421</v>
      </c>
      <c r="Q72" s="10"/>
      <c r="S72" s="4">
        <v>5</v>
      </c>
      <c r="T72" s="23">
        <v>-449.55000000000007</v>
      </c>
      <c r="U72" s="4">
        <v>18</v>
      </c>
      <c r="W72" s="18">
        <f>SUM(T72/S72)*-1</f>
        <v>89.910000000000011</v>
      </c>
      <c r="X72" s="49">
        <f>SUM(T72/U72)*-1</f>
        <v>24.975000000000005</v>
      </c>
      <c r="Y72" s="8">
        <f>SUM(U72/S72)</f>
        <v>3.6</v>
      </c>
      <c r="AC72" s="15">
        <f t="shared" si="22"/>
        <v>-2.5151725554642717</v>
      </c>
      <c r="AD72" s="50">
        <f t="shared" si="23"/>
        <v>-0.11198539087958086</v>
      </c>
      <c r="AE72" s="2"/>
      <c r="AF72" s="2"/>
      <c r="AG72" s="2"/>
      <c r="AH72" s="8">
        <f t="shared" si="31"/>
        <v>51.4</v>
      </c>
      <c r="AI72" s="5">
        <f t="shared" si="31"/>
        <v>-304.01078856634393</v>
      </c>
      <c r="AJ72" s="8">
        <f t="shared" si="31"/>
        <v>338.05555555555554</v>
      </c>
    </row>
    <row r="73" spans="1:36" x14ac:dyDescent="0.2">
      <c r="A73" s="3">
        <v>58</v>
      </c>
      <c r="B73" s="19" t="s">
        <v>0</v>
      </c>
      <c r="C73" s="2">
        <v>10522</v>
      </c>
      <c r="D73" s="2" t="s">
        <v>124</v>
      </c>
      <c r="E73" s="2" t="s">
        <v>121</v>
      </c>
      <c r="F73" s="2"/>
      <c r="G73" s="2"/>
      <c r="I73" s="4">
        <v>257</v>
      </c>
      <c r="J73" s="23">
        <v>637854.38</v>
      </c>
      <c r="K73" s="4">
        <v>323426</v>
      </c>
      <c r="L73" s="7"/>
      <c r="M73" s="18">
        <f t="shared" si="19"/>
        <v>2481.9236575875489</v>
      </c>
      <c r="N73" s="15">
        <f t="shared" si="20"/>
        <v>1.9721802823520682</v>
      </c>
      <c r="O73" s="8">
        <f t="shared" si="21"/>
        <v>1258.4669260700389</v>
      </c>
      <c r="Q73" s="10"/>
      <c r="S73" s="4"/>
      <c r="T73" s="23"/>
      <c r="U73" s="4"/>
      <c r="W73" s="18"/>
      <c r="X73" s="15"/>
      <c r="Y73" s="8"/>
      <c r="AC73" s="2"/>
      <c r="AD73" s="2"/>
      <c r="AE73" s="2"/>
      <c r="AF73" s="2"/>
      <c r="AG73" s="2"/>
      <c r="AH73" s="8"/>
      <c r="AI73" s="2"/>
      <c r="AJ73" s="8"/>
    </row>
    <row r="74" spans="1:36" x14ac:dyDescent="0.2">
      <c r="A74" s="3">
        <v>59</v>
      </c>
      <c r="B74" s="19" t="s">
        <v>28</v>
      </c>
      <c r="C74" s="2">
        <v>12317</v>
      </c>
      <c r="D74" s="2" t="s">
        <v>124</v>
      </c>
      <c r="E74" s="2" t="s">
        <v>118</v>
      </c>
      <c r="F74" s="2"/>
      <c r="G74" s="2"/>
      <c r="I74" s="4">
        <v>12711</v>
      </c>
      <c r="J74" s="23">
        <v>4475701.7899999944</v>
      </c>
      <c r="K74" s="4">
        <v>2100886</v>
      </c>
      <c r="L74" s="7"/>
      <c r="M74" s="18">
        <f t="shared" si="19"/>
        <v>352.11248446227631</v>
      </c>
      <c r="N74" s="15">
        <f t="shared" si="20"/>
        <v>2.1303877459319516</v>
      </c>
      <c r="O74" s="8">
        <f t="shared" si="21"/>
        <v>165.28093777043506</v>
      </c>
      <c r="Q74" s="10"/>
      <c r="S74" s="4">
        <v>40</v>
      </c>
      <c r="T74" s="23">
        <v>-1605.15</v>
      </c>
      <c r="U74" s="4">
        <v>905</v>
      </c>
      <c r="W74" s="18">
        <f t="shared" ref="W74:W87" si="32">SUM(T74/S74)*-1</f>
        <v>40.128750000000004</v>
      </c>
      <c r="X74" s="15">
        <f t="shared" ref="X74:X87" si="33">SUM(T74/U74)*-1</f>
        <v>1.7736464088397792</v>
      </c>
      <c r="Y74" s="8">
        <f t="shared" ref="Y74:Y87" si="34">SUM(U74/S74)</f>
        <v>22.625</v>
      </c>
      <c r="AC74" s="15">
        <f t="shared" ref="AC74:AC90" si="35">SUM(N74-X74)</f>
        <v>0.35674133709217237</v>
      </c>
      <c r="AD74" s="20">
        <f t="shared" ref="AD74:AD90" si="36">SUM(AC74/N74)</f>
        <v>0.16745371248655658</v>
      </c>
      <c r="AE74" s="2"/>
      <c r="AF74" s="2"/>
      <c r="AG74" s="2"/>
      <c r="AH74" s="8">
        <f t="shared" ref="AH74:AH87" si="37">SUM(I74/S74)</f>
        <v>317.77499999999998</v>
      </c>
      <c r="AI74" s="5">
        <f t="shared" ref="AI74:AI87" si="38">SUM(J74/T74)</f>
        <v>-2788.3386537083725</v>
      </c>
      <c r="AJ74" s="8">
        <f t="shared" ref="AJ74:AJ87" si="39">SUM(K74/U74)</f>
        <v>2321.4209944751383</v>
      </c>
    </row>
    <row r="75" spans="1:36" x14ac:dyDescent="0.2">
      <c r="A75" s="3">
        <v>60</v>
      </c>
      <c r="B75" s="19" t="s">
        <v>64</v>
      </c>
      <c r="C75" s="2">
        <v>47542</v>
      </c>
      <c r="D75" s="2" t="s">
        <v>124</v>
      </c>
      <c r="E75" s="2"/>
      <c r="F75" s="2"/>
      <c r="G75" s="2"/>
      <c r="I75" s="4">
        <v>71</v>
      </c>
      <c r="J75" s="23">
        <v>41991.300000000017</v>
      </c>
      <c r="K75" s="4">
        <v>2404</v>
      </c>
      <c r="L75" s="7"/>
      <c r="M75" s="18">
        <f t="shared" si="19"/>
        <v>591.42676056338053</v>
      </c>
      <c r="N75" s="15">
        <f t="shared" si="20"/>
        <v>17.467262895174716</v>
      </c>
      <c r="O75" s="8">
        <f t="shared" si="21"/>
        <v>33.859154929577464</v>
      </c>
      <c r="Q75" s="10"/>
      <c r="S75" s="4">
        <v>7</v>
      </c>
      <c r="T75" s="23">
        <v>-2119.6800000000003</v>
      </c>
      <c r="U75" s="4">
        <v>158</v>
      </c>
      <c r="W75" s="18">
        <f t="shared" si="32"/>
        <v>302.81142857142862</v>
      </c>
      <c r="X75" s="15">
        <f t="shared" si="33"/>
        <v>13.415696202531647</v>
      </c>
      <c r="Y75" s="8">
        <f t="shared" si="34"/>
        <v>22.571428571428573</v>
      </c>
      <c r="AC75" s="15">
        <f t="shared" si="35"/>
        <v>4.0515666926430693</v>
      </c>
      <c r="AD75" s="20">
        <f t="shared" si="36"/>
        <v>0.23195200741853514</v>
      </c>
      <c r="AE75" s="2"/>
      <c r="AF75" s="2"/>
      <c r="AG75" s="2"/>
      <c r="AH75" s="8">
        <f t="shared" si="37"/>
        <v>10.142857142857142</v>
      </c>
      <c r="AI75" s="5">
        <f t="shared" si="38"/>
        <v>-19.810207201086961</v>
      </c>
      <c r="AJ75" s="8">
        <f t="shared" si="39"/>
        <v>15.215189873417721</v>
      </c>
    </row>
    <row r="76" spans="1:36" x14ac:dyDescent="0.2">
      <c r="A76" s="3">
        <v>61</v>
      </c>
      <c r="B76" s="19" t="s">
        <v>27</v>
      </c>
      <c r="C76" s="2">
        <v>12289</v>
      </c>
      <c r="D76" s="2" t="s">
        <v>124</v>
      </c>
      <c r="E76" s="2"/>
      <c r="F76" s="2"/>
      <c r="G76" s="2"/>
      <c r="I76" s="4">
        <v>198</v>
      </c>
      <c r="J76" s="23">
        <v>1108057.95</v>
      </c>
      <c r="K76" s="4">
        <v>96138</v>
      </c>
      <c r="L76" s="7"/>
      <c r="M76" s="18">
        <f t="shared" si="19"/>
        <v>5596.2522727272726</v>
      </c>
      <c r="N76" s="33">
        <f t="shared" si="20"/>
        <v>11.525702115708668</v>
      </c>
      <c r="O76" s="8">
        <f t="shared" si="21"/>
        <v>485.54545454545456</v>
      </c>
      <c r="Q76" s="10"/>
      <c r="S76" s="4">
        <v>1</v>
      </c>
      <c r="T76" s="23">
        <v>-144</v>
      </c>
      <c r="U76" s="4">
        <v>10</v>
      </c>
      <c r="W76" s="18">
        <f t="shared" si="32"/>
        <v>144</v>
      </c>
      <c r="X76" s="49">
        <f t="shared" si="33"/>
        <v>14.4</v>
      </c>
      <c r="Y76" s="8">
        <f t="shared" si="34"/>
        <v>10</v>
      </c>
      <c r="AC76" s="15">
        <f t="shared" si="35"/>
        <v>-2.874297884291332</v>
      </c>
      <c r="AD76" s="50">
        <f t="shared" si="36"/>
        <v>-0.24938158694678386</v>
      </c>
      <c r="AE76" s="2"/>
      <c r="AF76" s="2"/>
      <c r="AG76" s="2"/>
      <c r="AH76" s="8">
        <f t="shared" si="37"/>
        <v>198</v>
      </c>
      <c r="AI76" s="5">
        <f t="shared" si="38"/>
        <v>-7694.8468749999993</v>
      </c>
      <c r="AJ76" s="8">
        <f t="shared" si="39"/>
        <v>9613.7999999999993</v>
      </c>
    </row>
    <row r="77" spans="1:36" x14ac:dyDescent="0.2">
      <c r="A77" s="3">
        <v>62</v>
      </c>
      <c r="B77" s="19" t="s">
        <v>50</v>
      </c>
      <c r="C77" s="2">
        <v>34138</v>
      </c>
      <c r="D77" s="2" t="s">
        <v>124</v>
      </c>
      <c r="E77" s="2"/>
      <c r="F77" s="2"/>
      <c r="G77" s="2"/>
      <c r="I77" s="4">
        <v>829</v>
      </c>
      <c r="J77" s="23">
        <v>358780.97780000005</v>
      </c>
      <c r="K77" s="4">
        <v>22734</v>
      </c>
      <c r="L77" s="7"/>
      <c r="M77" s="18">
        <f t="shared" si="19"/>
        <v>432.78766924004833</v>
      </c>
      <c r="N77" s="15">
        <f t="shared" si="20"/>
        <v>15.781691642473829</v>
      </c>
      <c r="O77" s="8">
        <f t="shared" si="21"/>
        <v>27.423401688781663</v>
      </c>
      <c r="Q77" s="10"/>
      <c r="S77" s="4">
        <v>21</v>
      </c>
      <c r="T77" s="23">
        <v>-1041.8098</v>
      </c>
      <c r="U77" s="4">
        <v>431</v>
      </c>
      <c r="W77" s="18">
        <f t="shared" si="32"/>
        <v>49.609990476190475</v>
      </c>
      <c r="X77" s="15">
        <f t="shared" si="33"/>
        <v>2.4171921113689097</v>
      </c>
      <c r="Y77" s="8">
        <f t="shared" si="34"/>
        <v>20.523809523809526</v>
      </c>
      <c r="AC77" s="15">
        <f t="shared" si="35"/>
        <v>13.364499531104919</v>
      </c>
      <c r="AD77" s="20">
        <f t="shared" si="36"/>
        <v>0.84683567730702358</v>
      </c>
      <c r="AE77" s="2"/>
      <c r="AF77" s="2"/>
      <c r="AG77" s="2"/>
      <c r="AH77" s="8">
        <f t="shared" si="37"/>
        <v>39.476190476190474</v>
      </c>
      <c r="AI77" s="5">
        <f t="shared" si="38"/>
        <v>-344.38241778873652</v>
      </c>
      <c r="AJ77" s="8">
        <f t="shared" si="39"/>
        <v>52.747099767981439</v>
      </c>
    </row>
    <row r="78" spans="1:36" x14ac:dyDescent="0.2">
      <c r="A78" s="3">
        <v>63</v>
      </c>
      <c r="B78" s="19" t="s">
        <v>70</v>
      </c>
      <c r="C78" s="2">
        <v>76837</v>
      </c>
      <c r="D78" s="2" t="s">
        <v>124</v>
      </c>
      <c r="E78" s="2"/>
      <c r="F78" s="2"/>
      <c r="G78" s="2"/>
      <c r="I78" s="4">
        <v>14</v>
      </c>
      <c r="J78" s="23">
        <v>20183.03</v>
      </c>
      <c r="K78" s="4">
        <v>2451</v>
      </c>
      <c r="L78" s="7"/>
      <c r="M78" s="18">
        <f t="shared" si="19"/>
        <v>1441.645</v>
      </c>
      <c r="N78" s="33">
        <f t="shared" si="20"/>
        <v>8.2346103631170937</v>
      </c>
      <c r="O78" s="8">
        <f t="shared" si="21"/>
        <v>175.07142857142858</v>
      </c>
      <c r="Q78" s="10"/>
      <c r="S78" s="4">
        <v>2</v>
      </c>
      <c r="T78" s="23">
        <v>-90.92</v>
      </c>
      <c r="U78" s="4">
        <v>11</v>
      </c>
      <c r="W78" s="18">
        <f t="shared" si="32"/>
        <v>45.46</v>
      </c>
      <c r="X78" s="49">
        <f t="shared" si="33"/>
        <v>8.2654545454545456</v>
      </c>
      <c r="Y78" s="8">
        <f t="shared" si="34"/>
        <v>5.5</v>
      </c>
      <c r="AC78" s="15">
        <f t="shared" si="35"/>
        <v>-3.0844182337451898E-2</v>
      </c>
      <c r="AD78" s="50">
        <f t="shared" si="36"/>
        <v>-3.7456759916174435E-3</v>
      </c>
      <c r="AE78" s="2"/>
      <c r="AF78" s="2"/>
      <c r="AG78" s="2"/>
      <c r="AH78" s="8">
        <f t="shared" si="37"/>
        <v>7</v>
      </c>
      <c r="AI78" s="5">
        <f t="shared" si="38"/>
        <v>-221.98669159700833</v>
      </c>
      <c r="AJ78" s="8">
        <f t="shared" si="39"/>
        <v>222.81818181818181</v>
      </c>
    </row>
    <row r="79" spans="1:36" x14ac:dyDescent="0.2">
      <c r="A79" s="3">
        <v>64</v>
      </c>
      <c r="B79" s="19" t="s">
        <v>13</v>
      </c>
      <c r="C79" s="2">
        <v>11995</v>
      </c>
      <c r="D79" s="2" t="s">
        <v>124</v>
      </c>
      <c r="E79" s="2"/>
      <c r="F79" s="2"/>
      <c r="G79" s="2"/>
      <c r="I79" s="4">
        <v>2221</v>
      </c>
      <c r="J79" s="23">
        <v>601269.29000000213</v>
      </c>
      <c r="K79" s="4">
        <v>8604</v>
      </c>
      <c r="L79" s="7"/>
      <c r="M79" s="18">
        <f t="shared" si="19"/>
        <v>270.72007654209909</v>
      </c>
      <c r="N79" s="15">
        <f t="shared" si="20"/>
        <v>69.882530218503263</v>
      </c>
      <c r="O79" s="8">
        <f t="shared" si="21"/>
        <v>3.873930661864025</v>
      </c>
      <c r="Q79" s="10"/>
      <c r="S79" s="4">
        <v>1</v>
      </c>
      <c r="T79" s="23">
        <v>-50.39</v>
      </c>
      <c r="U79" s="4">
        <v>7</v>
      </c>
      <c r="W79" s="18">
        <f t="shared" si="32"/>
        <v>50.39</v>
      </c>
      <c r="X79" s="15">
        <f t="shared" si="33"/>
        <v>7.1985714285714284</v>
      </c>
      <c r="Y79" s="8">
        <f t="shared" si="34"/>
        <v>7</v>
      </c>
      <c r="AC79" s="15">
        <f t="shared" si="35"/>
        <v>62.683958789931836</v>
      </c>
      <c r="AD79" s="20">
        <f t="shared" si="36"/>
        <v>0.89699040080455739</v>
      </c>
      <c r="AE79" s="2"/>
      <c r="AF79" s="2"/>
      <c r="AG79" s="2"/>
      <c r="AH79" s="8">
        <f t="shared" si="37"/>
        <v>2221</v>
      </c>
      <c r="AI79" s="5">
        <f t="shared" si="38"/>
        <v>-11932.313752728758</v>
      </c>
      <c r="AJ79" s="8">
        <f t="shared" si="39"/>
        <v>1229.1428571428571</v>
      </c>
    </row>
    <row r="80" spans="1:36" x14ac:dyDescent="0.2">
      <c r="A80" s="3">
        <v>65</v>
      </c>
      <c r="B80" s="19" t="s">
        <v>72</v>
      </c>
      <c r="C80" s="2">
        <v>77457</v>
      </c>
      <c r="D80" s="2" t="s">
        <v>124</v>
      </c>
      <c r="E80" s="2"/>
      <c r="F80" s="2"/>
      <c r="G80" s="2"/>
      <c r="I80" s="4">
        <v>2</v>
      </c>
      <c r="J80" s="23">
        <v>1258</v>
      </c>
      <c r="K80" s="4">
        <v>72</v>
      </c>
      <c r="L80" s="7"/>
      <c r="M80" s="18">
        <f t="shared" ref="M80:M90" si="40">SUM(J80/I80)</f>
        <v>629</v>
      </c>
      <c r="N80" s="15">
        <f t="shared" ref="N80:N90" si="41">SUM(J80/K80)</f>
        <v>17.472222222222221</v>
      </c>
      <c r="O80" s="8">
        <f t="shared" ref="O80:O90" si="42">SUM(K80/I80)</f>
        <v>36</v>
      </c>
      <c r="Q80" s="10"/>
      <c r="S80" s="4">
        <v>2</v>
      </c>
      <c r="T80" s="23">
        <v>-121.55000000000001</v>
      </c>
      <c r="U80" s="4">
        <v>21</v>
      </c>
      <c r="W80" s="18">
        <f t="shared" si="32"/>
        <v>60.775000000000006</v>
      </c>
      <c r="X80" s="15">
        <f t="shared" si="33"/>
        <v>5.7880952380952388</v>
      </c>
      <c r="Y80" s="8">
        <f t="shared" si="34"/>
        <v>10.5</v>
      </c>
      <c r="AC80" s="15">
        <f t="shared" si="35"/>
        <v>11.684126984126983</v>
      </c>
      <c r="AD80" s="20">
        <f t="shared" si="36"/>
        <v>0.6687258687258687</v>
      </c>
      <c r="AE80" s="2"/>
      <c r="AF80" s="2"/>
      <c r="AG80" s="2"/>
      <c r="AH80" s="8">
        <f t="shared" si="37"/>
        <v>1</v>
      </c>
      <c r="AI80" s="5">
        <f t="shared" si="38"/>
        <v>-10.349650349650348</v>
      </c>
      <c r="AJ80" s="8">
        <f t="shared" si="39"/>
        <v>3.4285714285714284</v>
      </c>
    </row>
    <row r="81" spans="1:45" x14ac:dyDescent="0.2">
      <c r="A81" s="3">
        <v>66</v>
      </c>
      <c r="B81" s="19" t="s">
        <v>82</v>
      </c>
      <c r="C81" s="2">
        <v>41237</v>
      </c>
      <c r="D81" s="2" t="s">
        <v>125</v>
      </c>
      <c r="E81" s="2" t="s">
        <v>126</v>
      </c>
      <c r="F81" s="2"/>
      <c r="G81" s="2"/>
      <c r="I81" s="4">
        <v>1995</v>
      </c>
      <c r="J81" s="23">
        <v>437425.4000000002</v>
      </c>
      <c r="K81" s="4">
        <v>201229</v>
      </c>
      <c r="L81" s="7"/>
      <c r="M81" s="18">
        <f t="shared" si="40"/>
        <v>219.2608521303259</v>
      </c>
      <c r="N81" s="33">
        <f t="shared" si="41"/>
        <v>2.173769188337666</v>
      </c>
      <c r="O81" s="8">
        <f t="shared" si="42"/>
        <v>100.86666666666666</v>
      </c>
      <c r="Q81" s="10"/>
      <c r="S81" s="4">
        <v>311</v>
      </c>
      <c r="T81" s="23">
        <v>-23597.810000000012</v>
      </c>
      <c r="U81" s="4">
        <v>9337</v>
      </c>
      <c r="W81" s="18">
        <f t="shared" si="32"/>
        <v>75.877202572347301</v>
      </c>
      <c r="X81" s="49">
        <f t="shared" si="33"/>
        <v>2.5273439006104756</v>
      </c>
      <c r="Y81" s="8">
        <f t="shared" si="34"/>
        <v>30.022508038585208</v>
      </c>
      <c r="AC81" s="15">
        <f t="shared" si="35"/>
        <v>-0.35357471227280968</v>
      </c>
      <c r="AD81" s="50">
        <f t="shared" si="36"/>
        <v>-0.16265513108279764</v>
      </c>
      <c r="AE81" s="2"/>
      <c r="AF81" s="2"/>
      <c r="AG81" s="2"/>
      <c r="AH81" s="8">
        <f t="shared" si="37"/>
        <v>6.414790996784566</v>
      </c>
      <c r="AI81" s="5">
        <f t="shared" si="38"/>
        <v>-18.536694718704826</v>
      </c>
      <c r="AJ81" s="8">
        <f t="shared" si="39"/>
        <v>21.551783228017566</v>
      </c>
    </row>
    <row r="82" spans="1:45" x14ac:dyDescent="0.2">
      <c r="A82" s="3">
        <v>67</v>
      </c>
      <c r="B82" s="19" t="s">
        <v>14</v>
      </c>
      <c r="C82" s="2">
        <v>12023</v>
      </c>
      <c r="D82" s="2" t="s">
        <v>123</v>
      </c>
      <c r="E82" s="2"/>
      <c r="F82" s="2"/>
      <c r="G82" s="2"/>
      <c r="I82" s="4">
        <v>605</v>
      </c>
      <c r="J82" s="23">
        <v>53161.500000000022</v>
      </c>
      <c r="K82" s="4">
        <v>50630</v>
      </c>
      <c r="L82" s="7"/>
      <c r="M82" s="18">
        <f t="shared" si="40"/>
        <v>87.870247933884329</v>
      </c>
      <c r="N82" s="15">
        <f t="shared" si="41"/>
        <v>1.0500000000000005</v>
      </c>
      <c r="O82" s="8">
        <f t="shared" si="42"/>
        <v>83.685950413223139</v>
      </c>
      <c r="Q82" s="10"/>
      <c r="S82" s="4">
        <v>4</v>
      </c>
      <c r="T82" s="23">
        <v>-180.6</v>
      </c>
      <c r="U82" s="4">
        <v>172</v>
      </c>
      <c r="W82" s="18">
        <f t="shared" si="32"/>
        <v>45.15</v>
      </c>
      <c r="X82" s="15">
        <f t="shared" si="33"/>
        <v>1.05</v>
      </c>
      <c r="Y82" s="8">
        <f t="shared" si="34"/>
        <v>43</v>
      </c>
      <c r="AC82" s="15">
        <f t="shared" si="35"/>
        <v>4.4408920985006262E-16</v>
      </c>
      <c r="AD82" s="20">
        <f t="shared" si="36"/>
        <v>4.2294210461910703E-16</v>
      </c>
      <c r="AE82" s="2"/>
      <c r="AF82" s="2"/>
      <c r="AG82" s="2"/>
      <c r="AH82" s="8">
        <f t="shared" si="37"/>
        <v>151.25</v>
      </c>
      <c r="AI82" s="5">
        <f t="shared" si="38"/>
        <v>-294.36046511627922</v>
      </c>
      <c r="AJ82" s="8">
        <f t="shared" si="39"/>
        <v>294.36046511627904</v>
      </c>
    </row>
    <row r="83" spans="1:45" x14ac:dyDescent="0.2">
      <c r="A83" s="3">
        <v>68</v>
      </c>
      <c r="B83" s="19" t="s">
        <v>43</v>
      </c>
      <c r="C83" s="2">
        <v>16043</v>
      </c>
      <c r="D83" s="2" t="s">
        <v>123</v>
      </c>
      <c r="E83" s="2"/>
      <c r="F83" s="2"/>
      <c r="G83" s="2"/>
      <c r="I83" s="4">
        <v>479</v>
      </c>
      <c r="J83" s="23">
        <v>52620.75</v>
      </c>
      <c r="K83" s="4">
        <v>50115</v>
      </c>
      <c r="L83" s="7"/>
      <c r="M83" s="18">
        <f t="shared" si="40"/>
        <v>109.8554279749478</v>
      </c>
      <c r="N83" s="15">
        <f t="shared" si="41"/>
        <v>1.05</v>
      </c>
      <c r="O83" s="8">
        <f t="shared" si="42"/>
        <v>104.62421711899792</v>
      </c>
      <c r="Q83" s="10"/>
      <c r="S83" s="4">
        <v>5</v>
      </c>
      <c r="T83" s="23">
        <v>-514.5</v>
      </c>
      <c r="U83" s="4">
        <v>490</v>
      </c>
      <c r="W83" s="18">
        <f t="shared" si="32"/>
        <v>102.9</v>
      </c>
      <c r="X83" s="15">
        <f t="shared" si="33"/>
        <v>1.05</v>
      </c>
      <c r="Y83" s="8">
        <f t="shared" si="34"/>
        <v>98</v>
      </c>
      <c r="AC83" s="15">
        <f t="shared" si="35"/>
        <v>0</v>
      </c>
      <c r="AD83" s="20">
        <f t="shared" si="36"/>
        <v>0</v>
      </c>
      <c r="AE83" s="2"/>
      <c r="AF83" s="2"/>
      <c r="AG83" s="2"/>
      <c r="AH83" s="8">
        <f t="shared" si="37"/>
        <v>95.8</v>
      </c>
      <c r="AI83" s="5">
        <f t="shared" si="38"/>
        <v>-102.27551020408163</v>
      </c>
      <c r="AJ83" s="8">
        <f t="shared" si="39"/>
        <v>102.27551020408163</v>
      </c>
    </row>
    <row r="84" spans="1:45" x14ac:dyDescent="0.2">
      <c r="A84" s="3">
        <v>69</v>
      </c>
      <c r="B84" s="19" t="s">
        <v>6</v>
      </c>
      <c r="C84" s="2">
        <v>11900</v>
      </c>
      <c r="D84" s="2" t="s">
        <v>133</v>
      </c>
      <c r="E84" s="2"/>
      <c r="F84" s="2"/>
      <c r="G84" s="2"/>
      <c r="I84" s="4">
        <v>207</v>
      </c>
      <c r="J84" s="23">
        <v>67124.090000000011</v>
      </c>
      <c r="K84" s="4">
        <v>2881</v>
      </c>
      <c r="L84" s="7"/>
      <c r="M84" s="18">
        <f t="shared" si="40"/>
        <v>324.27096618357496</v>
      </c>
      <c r="N84" s="15">
        <f t="shared" si="41"/>
        <v>23.29888580354044</v>
      </c>
      <c r="O84" s="8">
        <f t="shared" si="42"/>
        <v>13.917874396135266</v>
      </c>
      <c r="Q84" s="10"/>
      <c r="S84" s="4">
        <v>9</v>
      </c>
      <c r="T84" s="23">
        <v>-405.90000000000003</v>
      </c>
      <c r="U84" s="4">
        <v>22</v>
      </c>
      <c r="W84" s="18">
        <f t="shared" si="32"/>
        <v>45.1</v>
      </c>
      <c r="X84" s="15">
        <f t="shared" si="33"/>
        <v>18.450000000000003</v>
      </c>
      <c r="Y84" s="8">
        <f t="shared" si="34"/>
        <v>2.4444444444444446</v>
      </c>
      <c r="AC84" s="15">
        <f t="shared" si="35"/>
        <v>4.848885803540437</v>
      </c>
      <c r="AD84" s="20">
        <f t="shared" si="36"/>
        <v>0.2081166388996856</v>
      </c>
      <c r="AE84" s="2"/>
      <c r="AF84" s="2"/>
      <c r="AG84" s="2"/>
      <c r="AH84" s="8">
        <f t="shared" si="37"/>
        <v>23</v>
      </c>
      <c r="AI84" s="5">
        <f t="shared" si="38"/>
        <v>-165.37100271002711</v>
      </c>
      <c r="AJ84" s="8">
        <f t="shared" si="39"/>
        <v>130.95454545454547</v>
      </c>
    </row>
    <row r="85" spans="1:45" x14ac:dyDescent="0.2">
      <c r="A85" s="3">
        <v>70</v>
      </c>
      <c r="B85" s="19" t="s">
        <v>57</v>
      </c>
      <c r="C85" s="2">
        <v>41861</v>
      </c>
      <c r="D85" s="2" t="s">
        <v>133</v>
      </c>
      <c r="E85" s="2"/>
      <c r="F85" s="2"/>
      <c r="G85" s="2"/>
      <c r="I85" s="4">
        <v>119</v>
      </c>
      <c r="J85" s="23">
        <v>93312.75999999998</v>
      </c>
      <c r="K85" s="4">
        <v>3980</v>
      </c>
      <c r="L85" s="7"/>
      <c r="M85" s="18">
        <f t="shared" si="40"/>
        <v>784.14084033613426</v>
      </c>
      <c r="N85" s="15">
        <f t="shared" si="41"/>
        <v>23.445417085427131</v>
      </c>
      <c r="O85" s="8">
        <f t="shared" si="42"/>
        <v>33.445378151260506</v>
      </c>
      <c r="Q85" s="10"/>
      <c r="S85" s="4">
        <v>32</v>
      </c>
      <c r="T85" s="23">
        <v>-4898.0000000000009</v>
      </c>
      <c r="U85" s="4">
        <v>681</v>
      </c>
      <c r="W85" s="18">
        <f t="shared" si="32"/>
        <v>153.06250000000003</v>
      </c>
      <c r="X85" s="15">
        <f t="shared" si="33"/>
        <v>7.1923641703377399</v>
      </c>
      <c r="Y85" s="8">
        <f t="shared" si="34"/>
        <v>21.28125</v>
      </c>
      <c r="AC85" s="15">
        <f t="shared" si="35"/>
        <v>16.253052915089391</v>
      </c>
      <c r="AD85" s="20">
        <f t="shared" si="36"/>
        <v>0.69322942116443442</v>
      </c>
      <c r="AE85" s="2"/>
      <c r="AF85" s="2"/>
      <c r="AG85" s="2"/>
      <c r="AH85" s="8">
        <f t="shared" si="37"/>
        <v>3.71875</v>
      </c>
      <c r="AI85" s="5">
        <f t="shared" si="38"/>
        <v>-19.051196406696604</v>
      </c>
      <c r="AJ85" s="8">
        <f t="shared" si="39"/>
        <v>5.8443465491923643</v>
      </c>
    </row>
    <row r="86" spans="1:45" x14ac:dyDescent="0.2">
      <c r="A86" s="3">
        <v>71</v>
      </c>
      <c r="B86" s="19" t="s">
        <v>59</v>
      </c>
      <c r="C86" s="2">
        <v>42137</v>
      </c>
      <c r="D86" s="2" t="s">
        <v>133</v>
      </c>
      <c r="E86" s="2"/>
      <c r="F86" s="2"/>
      <c r="G86" s="2"/>
      <c r="I86" s="4">
        <v>129</v>
      </c>
      <c r="J86" s="23">
        <v>105169.20999999999</v>
      </c>
      <c r="K86" s="4">
        <v>4644</v>
      </c>
      <c r="L86" s="7"/>
      <c r="M86" s="18">
        <f t="shared" si="40"/>
        <v>815.26519379844956</v>
      </c>
      <c r="N86" s="15">
        <f t="shared" si="41"/>
        <v>22.646255383290264</v>
      </c>
      <c r="O86" s="8">
        <f t="shared" si="42"/>
        <v>36</v>
      </c>
      <c r="Q86" s="10"/>
      <c r="S86" s="4">
        <v>19</v>
      </c>
      <c r="T86" s="23">
        <v>-2182.9600000000005</v>
      </c>
      <c r="U86" s="4">
        <v>193</v>
      </c>
      <c r="W86" s="18">
        <f t="shared" si="32"/>
        <v>114.89263157894739</v>
      </c>
      <c r="X86" s="15">
        <f t="shared" si="33"/>
        <v>11.310673575129536</v>
      </c>
      <c r="Y86" s="8">
        <f t="shared" si="34"/>
        <v>10.157894736842104</v>
      </c>
      <c r="AC86" s="15">
        <f t="shared" si="35"/>
        <v>11.335581808160727</v>
      </c>
      <c r="AD86" s="20">
        <f t="shared" si="36"/>
        <v>0.50054994153800747</v>
      </c>
      <c r="AE86" s="2"/>
      <c r="AF86" s="2"/>
      <c r="AG86" s="2"/>
      <c r="AH86" s="8">
        <f t="shared" si="37"/>
        <v>6.7894736842105265</v>
      </c>
      <c r="AI86" s="5">
        <f t="shared" si="38"/>
        <v>-48.177341774471344</v>
      </c>
      <c r="AJ86" s="8">
        <f t="shared" si="39"/>
        <v>24.062176165803109</v>
      </c>
    </row>
    <row r="87" spans="1:45" x14ac:dyDescent="0.2">
      <c r="A87" s="3">
        <v>72</v>
      </c>
      <c r="B87" s="19" t="s">
        <v>69</v>
      </c>
      <c r="C87" s="2">
        <v>74138</v>
      </c>
      <c r="D87" s="2" t="s">
        <v>133</v>
      </c>
      <c r="E87" s="2"/>
      <c r="F87" s="2"/>
      <c r="G87" s="2"/>
      <c r="I87" s="4">
        <v>272</v>
      </c>
      <c r="J87" s="23">
        <v>228263.56000000006</v>
      </c>
      <c r="K87" s="4">
        <v>6363</v>
      </c>
      <c r="L87" s="7"/>
      <c r="M87" s="18">
        <f t="shared" si="40"/>
        <v>839.20426470588257</v>
      </c>
      <c r="N87" s="15">
        <f t="shared" si="41"/>
        <v>35.873575357535763</v>
      </c>
      <c r="O87" s="8">
        <f t="shared" si="42"/>
        <v>23.393382352941178</v>
      </c>
      <c r="Q87" s="10"/>
      <c r="S87" s="4">
        <v>22</v>
      </c>
      <c r="T87" s="23">
        <v>-2523.34</v>
      </c>
      <c r="U87" s="4">
        <v>218</v>
      </c>
      <c r="W87" s="18">
        <f t="shared" si="32"/>
        <v>114.69727272727273</v>
      </c>
      <c r="X87" s="15">
        <f t="shared" si="33"/>
        <v>11.574954128440368</v>
      </c>
      <c r="Y87" s="8">
        <f t="shared" si="34"/>
        <v>9.9090909090909083</v>
      </c>
      <c r="AC87" s="15">
        <f t="shared" si="35"/>
        <v>24.298621229095396</v>
      </c>
      <c r="AD87" s="20">
        <f t="shared" si="36"/>
        <v>0.67734038179696299</v>
      </c>
      <c r="AE87" s="2"/>
      <c r="AF87" s="2"/>
      <c r="AG87" s="2"/>
      <c r="AH87" s="8">
        <f t="shared" si="37"/>
        <v>12.363636363636363</v>
      </c>
      <c r="AI87" s="5">
        <f t="shared" si="38"/>
        <v>-90.460881212995488</v>
      </c>
      <c r="AJ87" s="8">
        <f t="shared" si="39"/>
        <v>29.188073394495412</v>
      </c>
    </row>
    <row r="88" spans="1:45" x14ac:dyDescent="0.2">
      <c r="A88" s="3">
        <v>73</v>
      </c>
      <c r="B88" s="19" t="s">
        <v>71</v>
      </c>
      <c r="C88" s="2">
        <v>76877</v>
      </c>
      <c r="D88" s="2" t="s">
        <v>133</v>
      </c>
      <c r="E88" s="2"/>
      <c r="F88" s="2"/>
      <c r="G88" s="2"/>
      <c r="I88" s="4">
        <v>2</v>
      </c>
      <c r="J88" s="23">
        <v>24862.05</v>
      </c>
      <c r="K88" s="4">
        <v>169</v>
      </c>
      <c r="L88" s="7"/>
      <c r="M88" s="18">
        <f t="shared" si="40"/>
        <v>12431.025</v>
      </c>
      <c r="N88" s="15">
        <f t="shared" si="41"/>
        <v>147.11272189349111</v>
      </c>
      <c r="O88" s="8">
        <f t="shared" si="42"/>
        <v>84.5</v>
      </c>
      <c r="Q88" s="10"/>
      <c r="S88" s="4"/>
      <c r="T88" s="23"/>
      <c r="U88" s="4"/>
      <c r="W88" s="18"/>
      <c r="X88" s="15"/>
      <c r="Y88" s="8"/>
      <c r="AC88" s="15">
        <f t="shared" si="35"/>
        <v>147.11272189349111</v>
      </c>
      <c r="AD88" s="20">
        <f t="shared" si="36"/>
        <v>1</v>
      </c>
      <c r="AE88" s="2"/>
      <c r="AF88" s="2"/>
      <c r="AG88" s="2"/>
      <c r="AH88" s="8"/>
      <c r="AI88" s="5"/>
      <c r="AJ88" s="8"/>
    </row>
    <row r="89" spans="1:45" x14ac:dyDescent="0.2">
      <c r="A89" s="3">
        <v>74</v>
      </c>
      <c r="B89" s="19" t="s">
        <v>45</v>
      </c>
      <c r="C89" s="2">
        <v>19074</v>
      </c>
      <c r="D89" s="2" t="s">
        <v>133</v>
      </c>
      <c r="E89" s="2"/>
      <c r="F89" s="2"/>
      <c r="G89" s="2"/>
      <c r="I89" s="4">
        <v>146</v>
      </c>
      <c r="J89" s="23">
        <v>124975.69999999997</v>
      </c>
      <c r="K89" s="4">
        <v>5602</v>
      </c>
      <c r="L89" s="7"/>
      <c r="M89" s="18">
        <f t="shared" si="40"/>
        <v>855.99794520547925</v>
      </c>
      <c r="N89" s="15">
        <f t="shared" si="41"/>
        <v>22.309121742234911</v>
      </c>
      <c r="O89" s="8">
        <f t="shared" si="42"/>
        <v>38.369863013698627</v>
      </c>
      <c r="Q89" s="10"/>
      <c r="S89" s="4">
        <v>6</v>
      </c>
      <c r="T89" s="23">
        <v>-341.05</v>
      </c>
      <c r="U89" s="4">
        <v>19</v>
      </c>
      <c r="W89" s="18">
        <f>SUM(T89/S89)*-1</f>
        <v>56.841666666666669</v>
      </c>
      <c r="X89" s="15">
        <f>SUM(T89/U89)*-1</f>
        <v>17.95</v>
      </c>
      <c r="Y89" s="8">
        <f>SUM(U89/S89)</f>
        <v>3.1666666666666665</v>
      </c>
      <c r="AC89" s="15">
        <f t="shared" si="35"/>
        <v>4.3591217422349118</v>
      </c>
      <c r="AD89" s="20">
        <f t="shared" si="36"/>
        <v>0.19539638505725498</v>
      </c>
      <c r="AE89" s="2"/>
      <c r="AF89" s="2"/>
      <c r="AG89" s="2"/>
      <c r="AH89" s="8">
        <f t="shared" ref="AH89:AJ90" si="43">SUM(I89/S89)</f>
        <v>24.333333333333332</v>
      </c>
      <c r="AI89" s="5">
        <f t="shared" si="43"/>
        <v>-366.44392317841948</v>
      </c>
      <c r="AJ89" s="8">
        <f t="shared" si="43"/>
        <v>294.84210526315792</v>
      </c>
    </row>
    <row r="90" spans="1:45" x14ac:dyDescent="0.2">
      <c r="B90" s="38" t="s">
        <v>129</v>
      </c>
      <c r="C90" s="38">
        <f>SUM(C95:C104)</f>
        <v>74</v>
      </c>
      <c r="D90" s="38" t="s">
        <v>134</v>
      </c>
      <c r="E90" s="38"/>
      <c r="F90" s="38"/>
      <c r="G90" s="38"/>
      <c r="H90" s="1"/>
      <c r="I90" s="39">
        <f>SUM(I16:I89)</f>
        <v>61289</v>
      </c>
      <c r="J90" s="40">
        <f>SUM(J16:J89)</f>
        <v>29924987.558099974</v>
      </c>
      <c r="K90" s="39">
        <f>SUM(K16:K89)</f>
        <v>3912790</v>
      </c>
      <c r="L90" s="37"/>
      <c r="M90" s="41">
        <f t="shared" si="40"/>
        <v>488.26033314460955</v>
      </c>
      <c r="N90" s="42">
        <f t="shared" si="41"/>
        <v>7.6479922403451175</v>
      </c>
      <c r="O90" s="43">
        <f t="shared" si="42"/>
        <v>63.841635530029862</v>
      </c>
      <c r="P90" s="1"/>
      <c r="Q90" s="10"/>
      <c r="R90" s="1"/>
      <c r="S90" s="39">
        <f>SUM(S16:S89)</f>
        <v>2556</v>
      </c>
      <c r="T90" s="40">
        <f>SUM(T16:T89)</f>
        <v>-166484.38980000012</v>
      </c>
      <c r="U90" s="39">
        <f>SUM(U16:U89)</f>
        <v>79965</v>
      </c>
      <c r="V90" s="37"/>
      <c r="W90" s="41">
        <f>SUM(T90/S90)*-1</f>
        <v>65.134737793427277</v>
      </c>
      <c r="X90" s="42">
        <f>SUM(T90/U90)*-1</f>
        <v>2.0819657325079737</v>
      </c>
      <c r="Y90" s="43">
        <f>SUM(U90/S90)</f>
        <v>31.285211267605632</v>
      </c>
      <c r="Z90" s="1"/>
      <c r="AA90" s="1"/>
      <c r="AB90" s="1"/>
      <c r="AC90" s="42">
        <f t="shared" si="35"/>
        <v>5.5660265078371438</v>
      </c>
      <c r="AD90" s="44">
        <f t="shared" si="36"/>
        <v>0.72777617091122671</v>
      </c>
      <c r="AE90" s="38"/>
      <c r="AF90" s="38"/>
      <c r="AG90" s="38"/>
      <c r="AH90" s="43">
        <f t="shared" si="43"/>
        <v>23.978482003129891</v>
      </c>
      <c r="AI90" s="45">
        <f t="shared" si="43"/>
        <v>-179.74650712928252</v>
      </c>
      <c r="AJ90" s="43">
        <f t="shared" si="43"/>
        <v>48.931282436065779</v>
      </c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2">
      <c r="J91" s="25"/>
      <c r="Q91" s="10"/>
      <c r="T91" s="24"/>
      <c r="W91" s="17"/>
      <c r="AH91" s="14"/>
    </row>
    <row r="92" spans="1:45" x14ac:dyDescent="0.2">
      <c r="J92" s="25"/>
      <c r="Q92" s="10"/>
      <c r="T92" s="24"/>
      <c r="W92" s="17"/>
      <c r="AH92" s="14"/>
    </row>
    <row r="93" spans="1:45" x14ac:dyDescent="0.2">
      <c r="B93" s="62" t="s">
        <v>136</v>
      </c>
      <c r="C93" s="62" t="s">
        <v>135</v>
      </c>
      <c r="D93" s="62" t="s">
        <v>115</v>
      </c>
      <c r="E93" s="62" t="s">
        <v>116</v>
      </c>
      <c r="F93" s="62" t="s">
        <v>117</v>
      </c>
      <c r="G93" s="62" t="s">
        <v>75</v>
      </c>
      <c r="H93" s="1"/>
      <c r="I93" s="62" t="s">
        <v>76</v>
      </c>
      <c r="J93" s="62" t="s">
        <v>77</v>
      </c>
      <c r="K93" s="62" t="s">
        <v>78</v>
      </c>
      <c r="L93" s="6"/>
      <c r="M93" s="62" t="s">
        <v>83</v>
      </c>
      <c r="N93" s="62" t="s">
        <v>84</v>
      </c>
      <c r="O93" s="62" t="s">
        <v>85</v>
      </c>
      <c r="P93" s="1"/>
      <c r="Q93" s="9"/>
      <c r="R93" s="1"/>
      <c r="S93" s="62" t="s">
        <v>79</v>
      </c>
      <c r="T93" s="62" t="s">
        <v>80</v>
      </c>
      <c r="U93" s="62" t="s">
        <v>81</v>
      </c>
      <c r="V93" s="1"/>
      <c r="W93" s="62" t="s">
        <v>86</v>
      </c>
      <c r="X93" s="62" t="s">
        <v>87</v>
      </c>
      <c r="Y93" s="62" t="s">
        <v>88</v>
      </c>
      <c r="Z93" s="1"/>
      <c r="AA93" s="1"/>
      <c r="AB93" s="1"/>
      <c r="AC93" s="62" t="s">
        <v>111</v>
      </c>
      <c r="AD93" s="62" t="s">
        <v>112</v>
      </c>
      <c r="AE93" s="62" t="s">
        <v>92</v>
      </c>
      <c r="AF93" s="62" t="s">
        <v>94</v>
      </c>
      <c r="AG93" s="62" t="s">
        <v>96</v>
      </c>
      <c r="AH93" s="62" t="s">
        <v>89</v>
      </c>
      <c r="AI93" s="62" t="s">
        <v>90</v>
      </c>
      <c r="AJ93" s="62" t="s">
        <v>91</v>
      </c>
      <c r="AK93" s="1"/>
    </row>
    <row r="94" spans="1:45" x14ac:dyDescent="0.2">
      <c r="B94" s="62"/>
      <c r="C94" s="62"/>
      <c r="D94" s="62"/>
      <c r="E94" s="62"/>
      <c r="F94" s="62"/>
      <c r="G94" s="62"/>
      <c r="H94" s="1"/>
      <c r="I94" s="62"/>
      <c r="J94" s="62"/>
      <c r="K94" s="62"/>
      <c r="L94" s="6"/>
      <c r="M94" s="62"/>
      <c r="N94" s="62"/>
      <c r="O94" s="62"/>
      <c r="P94" s="1"/>
      <c r="Q94" s="9"/>
      <c r="R94" s="1"/>
      <c r="S94" s="62"/>
      <c r="T94" s="62"/>
      <c r="U94" s="62"/>
      <c r="V94" s="1"/>
      <c r="W94" s="62"/>
      <c r="X94" s="62"/>
      <c r="Y94" s="62"/>
      <c r="Z94" s="1"/>
      <c r="AA94" s="1"/>
      <c r="AB94" s="1"/>
      <c r="AC94" s="62"/>
      <c r="AD94" s="62"/>
      <c r="AE94" s="62"/>
      <c r="AF94" s="62"/>
      <c r="AG94" s="62"/>
      <c r="AH94" s="62"/>
      <c r="AI94" s="62"/>
      <c r="AJ94" s="62"/>
      <c r="AK94" s="1"/>
    </row>
    <row r="95" spans="1:45" x14ac:dyDescent="0.2">
      <c r="B95" s="26" t="s">
        <v>129</v>
      </c>
      <c r="C95" s="2">
        <v>34</v>
      </c>
      <c r="D95" s="2" t="s">
        <v>119</v>
      </c>
      <c r="E95" s="2"/>
      <c r="F95" s="2"/>
      <c r="G95" s="2"/>
      <c r="I95" s="4">
        <v>14264</v>
      </c>
      <c r="J95" s="23">
        <v>9763484.0899999887</v>
      </c>
      <c r="K95" s="4">
        <v>416190</v>
      </c>
      <c r="M95" s="18">
        <f t="shared" ref="M95:M105" si="44">SUM(J95/I95)</f>
        <v>684.48430243970756</v>
      </c>
      <c r="N95" s="15">
        <f t="shared" ref="N95:N105" si="45">SUM(J95/K95)</f>
        <v>23.459199139815922</v>
      </c>
      <c r="O95" s="8">
        <f t="shared" ref="O95:O105" si="46">SUM(K95/I95)</f>
        <v>29.177650028042624</v>
      </c>
      <c r="Q95" s="9"/>
      <c r="S95" s="4">
        <v>262</v>
      </c>
      <c r="T95" s="23">
        <v>-31739.01</v>
      </c>
      <c r="U95" s="4">
        <v>1466</v>
      </c>
      <c r="W95" s="18">
        <f>SUM(T95/S95)*-1</f>
        <v>121.14125954198472</v>
      </c>
      <c r="X95" s="15">
        <f>SUM(T95/U95)*-1</f>
        <v>21.650075034106411</v>
      </c>
      <c r="Y95" s="8">
        <f t="shared" ref="Y95:Y105" si="47">SUM(U95/S95)</f>
        <v>5.5954198473282446</v>
      </c>
      <c r="AC95" s="15">
        <f t="shared" ref="AC95:AC105" si="48">SUM(N95-X95)</f>
        <v>1.8091241057095111</v>
      </c>
      <c r="AD95" s="20">
        <f t="shared" ref="AD95:AD105" si="49">SUM(AC95/N95)</f>
        <v>7.7117897116913553E-2</v>
      </c>
      <c r="AE95" s="2"/>
      <c r="AF95" s="2"/>
      <c r="AG95" s="2"/>
      <c r="AH95" s="8">
        <f t="shared" ref="AH95:AH105" si="50">SUM(I95/S95)</f>
        <v>54.44274809160305</v>
      </c>
      <c r="AI95" s="5">
        <f t="shared" ref="AI95:AI105" si="51">SUM(J95/T95)</f>
        <v>-307.61778927572061</v>
      </c>
      <c r="AJ95" s="8">
        <f t="shared" ref="AJ95:AJ105" si="52">SUM(K95/U95)</f>
        <v>283.8949522510232</v>
      </c>
    </row>
    <row r="96" spans="1:45" x14ac:dyDescent="0.2">
      <c r="B96" s="26" t="s">
        <v>129</v>
      </c>
      <c r="C96" s="2">
        <v>15</v>
      </c>
      <c r="D96" s="2" t="s">
        <v>119</v>
      </c>
      <c r="E96" s="2" t="s">
        <v>122</v>
      </c>
      <c r="F96" s="2" t="s">
        <v>113</v>
      </c>
      <c r="G96" s="2"/>
      <c r="I96" s="4">
        <v>6814</v>
      </c>
      <c r="J96" s="23">
        <v>2601953.579999995</v>
      </c>
      <c r="K96" s="4">
        <v>104527</v>
      </c>
      <c r="M96" s="18">
        <f t="shared" si="44"/>
        <v>381.8540622248305</v>
      </c>
      <c r="N96" s="15">
        <f t="shared" si="45"/>
        <v>24.892645727898007</v>
      </c>
      <c r="O96" s="8">
        <f t="shared" si="46"/>
        <v>15.340035221602584</v>
      </c>
      <c r="Q96" s="9"/>
      <c r="S96" s="4">
        <v>93</v>
      </c>
      <c r="T96" s="23">
        <v>-10968.66</v>
      </c>
      <c r="U96" s="4">
        <v>596</v>
      </c>
      <c r="W96" s="18">
        <f>SUM(T96/S96)*-1</f>
        <v>117.94258064516129</v>
      </c>
      <c r="X96" s="15">
        <f>SUM(T96/U96)*-1</f>
        <v>18.403791946308726</v>
      </c>
      <c r="Y96" s="8">
        <f t="shared" si="47"/>
        <v>6.408602150537634</v>
      </c>
      <c r="AC96" s="15">
        <f t="shared" si="48"/>
        <v>6.4888537815892811</v>
      </c>
      <c r="AD96" s="20">
        <f t="shared" si="49"/>
        <v>0.26067352793749077</v>
      </c>
      <c r="AE96" s="2"/>
      <c r="AF96" s="2"/>
      <c r="AG96" s="2"/>
      <c r="AH96" s="8">
        <f t="shared" si="50"/>
        <v>73.268817204301072</v>
      </c>
      <c r="AI96" s="5">
        <f t="shared" si="51"/>
        <v>-237.21708759319688</v>
      </c>
      <c r="AJ96" s="8">
        <f t="shared" si="52"/>
        <v>175.38087248322148</v>
      </c>
    </row>
    <row r="97" spans="2:36" x14ac:dyDescent="0.2">
      <c r="B97" s="26" t="s">
        <v>129</v>
      </c>
      <c r="C97" s="2">
        <v>5</v>
      </c>
      <c r="D97" s="2" t="s">
        <v>119</v>
      </c>
      <c r="E97" s="2" t="s">
        <v>122</v>
      </c>
      <c r="F97" s="2" t="s">
        <v>114</v>
      </c>
      <c r="G97" s="2"/>
      <c r="I97" s="4">
        <v>5276</v>
      </c>
      <c r="J97" s="23">
        <v>2195468.4399999967</v>
      </c>
      <c r="K97" s="4">
        <v>31487</v>
      </c>
      <c r="M97" s="18">
        <f t="shared" si="44"/>
        <v>416.12366186504863</v>
      </c>
      <c r="N97" s="15">
        <f t="shared" si="45"/>
        <v>69.726186680217126</v>
      </c>
      <c r="O97" s="8">
        <f t="shared" si="46"/>
        <v>5.9679681576952239</v>
      </c>
      <c r="Q97" s="9"/>
      <c r="S97" s="4">
        <v>187</v>
      </c>
      <c r="T97" s="23">
        <v>-18128.610000000011</v>
      </c>
      <c r="U97" s="4">
        <v>393</v>
      </c>
      <c r="W97" s="18">
        <f>SUM(T97/S97)*-1</f>
        <v>96.944438502673862</v>
      </c>
      <c r="X97" s="15">
        <f>SUM(T97/U97)*-1</f>
        <v>46.128778625954226</v>
      </c>
      <c r="Y97" s="8">
        <f t="shared" si="47"/>
        <v>2.1016042780748663</v>
      </c>
      <c r="AC97" s="15">
        <f t="shared" si="48"/>
        <v>23.5974080542629</v>
      </c>
      <c r="AD97" s="20">
        <f t="shared" si="49"/>
        <v>0.33842963709584323</v>
      </c>
      <c r="AE97" s="2"/>
      <c r="AF97" s="2"/>
      <c r="AG97" s="2"/>
      <c r="AH97" s="8">
        <f t="shared" si="50"/>
        <v>28.213903743315509</v>
      </c>
      <c r="AI97" s="5">
        <f t="shared" si="51"/>
        <v>-121.10517243186297</v>
      </c>
      <c r="AJ97" s="8">
        <f t="shared" si="52"/>
        <v>80.119592875318062</v>
      </c>
    </row>
    <row r="98" spans="2:36" x14ac:dyDescent="0.2">
      <c r="B98" s="26" t="s">
        <v>129</v>
      </c>
      <c r="C98" s="2">
        <v>3</v>
      </c>
      <c r="D98" s="2" t="s">
        <v>119</v>
      </c>
      <c r="E98" s="2" t="s">
        <v>120</v>
      </c>
      <c r="F98" s="2"/>
      <c r="G98" s="2"/>
      <c r="I98" s="4">
        <v>14678</v>
      </c>
      <c r="J98" s="23">
        <v>6932069.7103000041</v>
      </c>
      <c r="K98" s="4">
        <v>478258</v>
      </c>
      <c r="M98" s="18">
        <f t="shared" si="44"/>
        <v>472.27617592996347</v>
      </c>
      <c r="N98" s="15">
        <f t="shared" si="45"/>
        <v>14.494414542569082</v>
      </c>
      <c r="O98" s="8">
        <f t="shared" si="46"/>
        <v>32.583321978471183</v>
      </c>
      <c r="Q98" s="9"/>
      <c r="S98" s="4">
        <v>1532</v>
      </c>
      <c r="T98" s="23">
        <v>-65830.45000000007</v>
      </c>
      <c r="U98" s="4">
        <v>64835</v>
      </c>
      <c r="W98" s="18">
        <f>SUM(T98/S98)*-1</f>
        <v>42.970267624020934</v>
      </c>
      <c r="X98" s="15">
        <f>SUM(T98/U98)*-1</f>
        <v>1.0153535898820092</v>
      </c>
      <c r="Y98" s="8">
        <f t="shared" si="47"/>
        <v>42.320496083550914</v>
      </c>
      <c r="AC98" s="15">
        <f t="shared" si="48"/>
        <v>13.479060952687073</v>
      </c>
      <c r="AD98" s="20">
        <f t="shared" si="49"/>
        <v>0.92994863042587983</v>
      </c>
      <c r="AE98" s="2"/>
      <c r="AF98" s="2"/>
      <c r="AG98" s="2"/>
      <c r="AH98" s="8">
        <f t="shared" si="50"/>
        <v>9.5809399477806796</v>
      </c>
      <c r="AI98" s="5">
        <f t="shared" si="51"/>
        <v>-105.30187337774535</v>
      </c>
      <c r="AJ98" s="8">
        <f t="shared" si="52"/>
        <v>7.3765404488316495</v>
      </c>
    </row>
    <row r="99" spans="2:36" x14ac:dyDescent="0.2">
      <c r="B99" s="26" t="s">
        <v>129</v>
      </c>
      <c r="C99" s="2">
        <v>1</v>
      </c>
      <c r="D99" s="2" t="s">
        <v>124</v>
      </c>
      <c r="E99" s="2" t="s">
        <v>121</v>
      </c>
      <c r="F99" s="2"/>
      <c r="G99" s="2"/>
      <c r="I99" s="4">
        <v>257</v>
      </c>
      <c r="J99" s="23">
        <v>637854.38</v>
      </c>
      <c r="K99" s="4">
        <v>323426</v>
      </c>
      <c r="M99" s="18">
        <f t="shared" si="44"/>
        <v>2481.9236575875489</v>
      </c>
      <c r="N99" s="15">
        <f t="shared" si="45"/>
        <v>1.9721802823520682</v>
      </c>
      <c r="O99" s="8">
        <f t="shared" si="46"/>
        <v>1258.4669260700389</v>
      </c>
      <c r="Q99" s="9"/>
      <c r="S99" s="4"/>
      <c r="T99" s="23"/>
      <c r="U99" s="4"/>
      <c r="W99" s="18"/>
      <c r="X99" s="15"/>
      <c r="Y99" s="8"/>
      <c r="AC99" s="15"/>
      <c r="AD99" s="20">
        <f t="shared" si="49"/>
        <v>0</v>
      </c>
      <c r="AE99" s="2"/>
      <c r="AF99" s="2"/>
      <c r="AG99" s="2"/>
      <c r="AH99" s="8"/>
      <c r="AI99" s="5"/>
      <c r="AJ99" s="8"/>
    </row>
    <row r="100" spans="2:36" x14ac:dyDescent="0.2">
      <c r="B100" s="26" t="s">
        <v>129</v>
      </c>
      <c r="C100" s="2">
        <v>1</v>
      </c>
      <c r="D100" s="2" t="s">
        <v>124</v>
      </c>
      <c r="E100" s="2" t="s">
        <v>118</v>
      </c>
      <c r="F100" s="2"/>
      <c r="G100" s="2"/>
      <c r="I100" s="4">
        <v>12711</v>
      </c>
      <c r="J100" s="23">
        <v>4475701.7899999944</v>
      </c>
      <c r="K100" s="4">
        <v>2100886</v>
      </c>
      <c r="M100" s="18">
        <f t="shared" si="44"/>
        <v>352.11248446227631</v>
      </c>
      <c r="N100" s="15">
        <f t="shared" si="45"/>
        <v>2.1303877459319516</v>
      </c>
      <c r="O100" s="8">
        <f t="shared" si="46"/>
        <v>165.28093777043506</v>
      </c>
      <c r="Q100" s="9"/>
      <c r="S100" s="4">
        <v>40</v>
      </c>
      <c r="T100" s="23">
        <v>-1605.15</v>
      </c>
      <c r="U100" s="4">
        <v>905</v>
      </c>
      <c r="W100" s="18">
        <f t="shared" ref="W100:W105" si="53">SUM(T100/S100)*-1</f>
        <v>40.128750000000004</v>
      </c>
      <c r="X100" s="15">
        <f t="shared" ref="X100:X105" si="54">SUM(T100/U100)*-1</f>
        <v>1.7736464088397792</v>
      </c>
      <c r="Y100" s="8">
        <f t="shared" si="47"/>
        <v>22.625</v>
      </c>
      <c r="AC100" s="15">
        <f t="shared" si="48"/>
        <v>0.35674133709217237</v>
      </c>
      <c r="AD100" s="20">
        <f t="shared" si="49"/>
        <v>0.16745371248655658</v>
      </c>
      <c r="AE100" s="2"/>
      <c r="AF100" s="2"/>
      <c r="AG100" s="2"/>
      <c r="AH100" s="8">
        <f t="shared" si="50"/>
        <v>317.77499999999998</v>
      </c>
      <c r="AI100" s="5">
        <f t="shared" si="51"/>
        <v>-2788.3386537083725</v>
      </c>
      <c r="AJ100" s="8">
        <f t="shared" si="52"/>
        <v>2321.4209944751383</v>
      </c>
    </row>
    <row r="101" spans="2:36" x14ac:dyDescent="0.2">
      <c r="B101" s="26" t="s">
        <v>129</v>
      </c>
      <c r="C101" s="2">
        <v>6</v>
      </c>
      <c r="D101" s="2" t="s">
        <v>124</v>
      </c>
      <c r="E101" s="2"/>
      <c r="F101" s="2"/>
      <c r="G101" s="2"/>
      <c r="I101" s="4">
        <v>3335</v>
      </c>
      <c r="J101" s="23">
        <v>2131540.5478000022</v>
      </c>
      <c r="K101" s="4">
        <v>132403</v>
      </c>
      <c r="M101" s="18">
        <f t="shared" si="44"/>
        <v>639.14259304347888</v>
      </c>
      <c r="N101" s="15">
        <f t="shared" si="45"/>
        <v>16.098884072113187</v>
      </c>
      <c r="O101" s="8">
        <f t="shared" si="46"/>
        <v>39.701049475262366</v>
      </c>
      <c r="Q101" s="9"/>
      <c r="S101" s="4">
        <v>34</v>
      </c>
      <c r="T101" s="23">
        <v>-3568.3498000000004</v>
      </c>
      <c r="U101" s="4">
        <v>638</v>
      </c>
      <c r="W101" s="18">
        <f t="shared" si="53"/>
        <v>104.95146470588236</v>
      </c>
      <c r="X101" s="15">
        <f t="shared" si="54"/>
        <v>5.5930247648902824</v>
      </c>
      <c r="Y101" s="8">
        <f t="shared" si="47"/>
        <v>18.764705882352942</v>
      </c>
      <c r="AC101" s="15">
        <f t="shared" si="48"/>
        <v>10.505859307222904</v>
      </c>
      <c r="AD101" s="20">
        <f t="shared" si="49"/>
        <v>0.65258307719734232</v>
      </c>
      <c r="AE101" s="2"/>
      <c r="AF101" s="2"/>
      <c r="AG101" s="2"/>
      <c r="AH101" s="8">
        <f t="shared" si="50"/>
        <v>98.088235294117652</v>
      </c>
      <c r="AI101" s="5">
        <f t="shared" si="51"/>
        <v>-597.34629934542909</v>
      </c>
      <c r="AJ101" s="8">
        <f t="shared" si="52"/>
        <v>207.52821316614421</v>
      </c>
    </row>
    <row r="102" spans="2:36" x14ac:dyDescent="0.2">
      <c r="B102" s="26" t="s">
        <v>129</v>
      </c>
      <c r="C102" s="2">
        <v>1</v>
      </c>
      <c r="D102" s="2" t="s">
        <v>125</v>
      </c>
      <c r="E102" s="2" t="s">
        <v>126</v>
      </c>
      <c r="F102" s="2"/>
      <c r="G102" s="2"/>
      <c r="I102" s="4">
        <v>1995</v>
      </c>
      <c r="J102" s="23">
        <v>437425.4000000002</v>
      </c>
      <c r="K102" s="4">
        <v>201229</v>
      </c>
      <c r="M102" s="18">
        <f t="shared" si="44"/>
        <v>219.2608521303259</v>
      </c>
      <c r="N102" s="48">
        <f t="shared" si="45"/>
        <v>2.173769188337666</v>
      </c>
      <c r="O102" s="8">
        <f t="shared" si="46"/>
        <v>100.86666666666666</v>
      </c>
      <c r="Q102" s="9"/>
      <c r="S102" s="4">
        <v>311</v>
      </c>
      <c r="T102" s="23">
        <v>-23597.810000000012</v>
      </c>
      <c r="U102" s="4">
        <v>9337</v>
      </c>
      <c r="W102" s="18">
        <f t="shared" si="53"/>
        <v>75.877202572347301</v>
      </c>
      <c r="X102" s="48">
        <f t="shared" si="54"/>
        <v>2.5273439006104756</v>
      </c>
      <c r="Y102" s="8">
        <f t="shared" si="47"/>
        <v>30.022508038585208</v>
      </c>
      <c r="AC102" s="15">
        <f t="shared" si="48"/>
        <v>-0.35357471227280968</v>
      </c>
      <c r="AD102" s="21">
        <f t="shared" si="49"/>
        <v>-0.16265513108279764</v>
      </c>
      <c r="AE102" s="2"/>
      <c r="AF102" s="2"/>
      <c r="AG102" s="2"/>
      <c r="AH102" s="8">
        <f t="shared" si="50"/>
        <v>6.414790996784566</v>
      </c>
      <c r="AI102" s="5">
        <f t="shared" si="51"/>
        <v>-18.536694718704826</v>
      </c>
      <c r="AJ102" s="8">
        <f t="shared" si="52"/>
        <v>21.551783228017566</v>
      </c>
    </row>
    <row r="103" spans="2:36" x14ac:dyDescent="0.2">
      <c r="B103" s="26" t="s">
        <v>129</v>
      </c>
      <c r="C103" s="2">
        <v>2</v>
      </c>
      <c r="D103" s="2" t="s">
        <v>123</v>
      </c>
      <c r="E103" s="2"/>
      <c r="F103" s="2"/>
      <c r="G103" s="2"/>
      <c r="I103" s="4">
        <v>1084</v>
      </c>
      <c r="J103" s="23">
        <v>105782.25000000003</v>
      </c>
      <c r="K103" s="4">
        <v>100745</v>
      </c>
      <c r="M103" s="18">
        <f t="shared" si="44"/>
        <v>97.585101476014785</v>
      </c>
      <c r="N103" s="15">
        <f t="shared" si="45"/>
        <v>1.0500000000000003</v>
      </c>
      <c r="O103" s="8">
        <f t="shared" si="46"/>
        <v>92.938191881918826</v>
      </c>
      <c r="Q103" s="9"/>
      <c r="S103" s="4">
        <v>9</v>
      </c>
      <c r="T103" s="23">
        <v>-695.1</v>
      </c>
      <c r="U103" s="4">
        <v>662</v>
      </c>
      <c r="W103" s="18">
        <f t="shared" si="53"/>
        <v>77.233333333333334</v>
      </c>
      <c r="X103" s="15">
        <f t="shared" si="54"/>
        <v>1.05</v>
      </c>
      <c r="Y103" s="8">
        <f t="shared" si="47"/>
        <v>73.555555555555557</v>
      </c>
      <c r="AC103" s="15">
        <f t="shared" si="48"/>
        <v>2.2204460492503131E-16</v>
      </c>
      <c r="AD103" s="20">
        <f t="shared" si="49"/>
        <v>2.1147105230955357E-16</v>
      </c>
      <c r="AE103" s="2"/>
      <c r="AF103" s="2"/>
      <c r="AG103" s="2"/>
      <c r="AH103" s="8">
        <f t="shared" si="50"/>
        <v>120.44444444444444</v>
      </c>
      <c r="AI103" s="5">
        <f t="shared" si="51"/>
        <v>-152.1827794561934</v>
      </c>
      <c r="AJ103" s="8">
        <f t="shared" si="52"/>
        <v>152.18277945619334</v>
      </c>
    </row>
    <row r="104" spans="2:36" x14ac:dyDescent="0.2">
      <c r="B104" s="26" t="s">
        <v>129</v>
      </c>
      <c r="C104" s="2">
        <v>6</v>
      </c>
      <c r="D104" s="2" t="s">
        <v>133</v>
      </c>
      <c r="E104" s="2"/>
      <c r="F104" s="2"/>
      <c r="G104" s="2"/>
      <c r="I104" s="4">
        <v>875</v>
      </c>
      <c r="J104" s="23">
        <v>643707.37</v>
      </c>
      <c r="K104" s="4">
        <v>23639</v>
      </c>
      <c r="M104" s="18">
        <f t="shared" si="44"/>
        <v>735.66556571428566</v>
      </c>
      <c r="N104" s="15">
        <f t="shared" si="45"/>
        <v>27.230736071745845</v>
      </c>
      <c r="O104" s="8">
        <f t="shared" si="46"/>
        <v>27.015999999999998</v>
      </c>
      <c r="Q104" s="9"/>
      <c r="S104" s="4">
        <v>88</v>
      </c>
      <c r="T104" s="23">
        <v>-10351.25</v>
      </c>
      <c r="U104" s="4">
        <v>1133</v>
      </c>
      <c r="W104" s="18">
        <f t="shared" si="53"/>
        <v>117.62784090909091</v>
      </c>
      <c r="X104" s="15">
        <f t="shared" si="54"/>
        <v>9.1361429832303624</v>
      </c>
      <c r="Y104" s="8">
        <f t="shared" si="47"/>
        <v>12.875</v>
      </c>
      <c r="AC104" s="15">
        <f t="shared" si="48"/>
        <v>18.094593088515481</v>
      </c>
      <c r="AD104" s="20">
        <f t="shared" si="49"/>
        <v>0.66449151579454102</v>
      </c>
      <c r="AE104" s="2"/>
      <c r="AF104" s="2"/>
      <c r="AG104" s="2"/>
      <c r="AH104" s="8">
        <f t="shared" si="50"/>
        <v>9.9431818181818183</v>
      </c>
      <c r="AI104" s="5">
        <f t="shared" si="51"/>
        <v>-62.186438352855937</v>
      </c>
      <c r="AJ104" s="8">
        <f t="shared" si="52"/>
        <v>20.864077669902912</v>
      </c>
    </row>
    <row r="105" spans="2:36" x14ac:dyDescent="0.2">
      <c r="B105" s="27" t="s">
        <v>129</v>
      </c>
      <c r="C105" s="28">
        <f>SUM(C95:C104)</f>
        <v>74</v>
      </c>
      <c r="D105" s="28"/>
      <c r="E105" s="28"/>
      <c r="F105" s="28"/>
      <c r="G105" s="28"/>
      <c r="I105" s="29">
        <f>SUM(I95:I104)</f>
        <v>61289</v>
      </c>
      <c r="J105" s="30">
        <f>SUM(J95:J104)</f>
        <v>29924987.558099978</v>
      </c>
      <c r="K105" s="29">
        <f>SUM(K95:K104)</f>
        <v>3912790</v>
      </c>
      <c r="M105" s="32">
        <f t="shared" si="44"/>
        <v>488.2603331446096</v>
      </c>
      <c r="N105" s="33">
        <f t="shared" si="45"/>
        <v>7.6479922403451193</v>
      </c>
      <c r="O105" s="34">
        <f t="shared" si="46"/>
        <v>63.841635530029862</v>
      </c>
      <c r="Q105" s="9"/>
      <c r="S105" s="29">
        <f>SUM(S95:S104)</f>
        <v>2556</v>
      </c>
      <c r="T105" s="30">
        <f>SUM(T95:T104)</f>
        <v>-166484.38980000009</v>
      </c>
      <c r="U105" s="29">
        <f>SUM(U95:U104)</f>
        <v>79965</v>
      </c>
      <c r="W105" s="32">
        <f t="shared" si="53"/>
        <v>65.134737793427263</v>
      </c>
      <c r="X105" s="33">
        <f t="shared" si="54"/>
        <v>2.0819657325079732</v>
      </c>
      <c r="Y105" s="34">
        <f t="shared" si="47"/>
        <v>31.285211267605632</v>
      </c>
      <c r="AC105" s="33">
        <f t="shared" si="48"/>
        <v>5.5660265078371456</v>
      </c>
      <c r="AD105" s="35">
        <f t="shared" si="49"/>
        <v>0.72777617091122682</v>
      </c>
      <c r="AE105" s="28"/>
      <c r="AF105" s="28"/>
      <c r="AG105" s="28"/>
      <c r="AH105" s="34">
        <f t="shared" si="50"/>
        <v>23.978482003129891</v>
      </c>
      <c r="AI105" s="36">
        <f t="shared" si="51"/>
        <v>-179.74650712928258</v>
      </c>
      <c r="AJ105" s="34">
        <f t="shared" si="52"/>
        <v>48.931282436065779</v>
      </c>
    </row>
    <row r="106" spans="2:36" x14ac:dyDescent="0.2">
      <c r="J106" s="25"/>
      <c r="Q106" s="9"/>
      <c r="T106" s="24"/>
      <c r="W106" s="17"/>
      <c r="AH106" s="14"/>
    </row>
    <row r="107" spans="2:36" x14ac:dyDescent="0.2">
      <c r="B107" s="26" t="s">
        <v>129</v>
      </c>
      <c r="C107" s="2">
        <v>20</v>
      </c>
      <c r="D107" s="2" t="s">
        <v>134</v>
      </c>
      <c r="E107" s="2"/>
      <c r="F107" s="2"/>
      <c r="G107" s="46" t="s">
        <v>127</v>
      </c>
      <c r="I107" s="4">
        <v>10564</v>
      </c>
      <c r="J107" s="16">
        <v>6154108.6300000008</v>
      </c>
      <c r="K107" s="4">
        <v>498902</v>
      </c>
      <c r="M107" s="18">
        <v>582.55477375993951</v>
      </c>
      <c r="N107" s="15">
        <v>12.33530559107801</v>
      </c>
      <c r="O107" s="8">
        <v>47.226618705035975</v>
      </c>
      <c r="Q107" s="9"/>
      <c r="S107" s="4">
        <v>613</v>
      </c>
      <c r="T107" s="16">
        <v>-51151.810000000027</v>
      </c>
      <c r="U107" s="4">
        <v>10102</v>
      </c>
      <c r="W107" s="18">
        <v>83.445040783034301</v>
      </c>
      <c r="X107" s="15">
        <v>5.0635329637695534</v>
      </c>
      <c r="Y107" s="8">
        <v>16.479608482871125</v>
      </c>
      <c r="AC107" s="15">
        <v>7.2717726273084562</v>
      </c>
      <c r="AD107" s="20">
        <v>0.58950891598243416</v>
      </c>
      <c r="AH107" s="8">
        <f t="shared" ref="AH107:AH108" si="55">SUM(I107/S107)</f>
        <v>17.233278955954322</v>
      </c>
      <c r="AI107" s="5">
        <f t="shared" ref="AI107:AI108" si="56">SUM(J107/T107)</f>
        <v>-120.31067189997769</v>
      </c>
      <c r="AJ107" s="8">
        <f t="shared" ref="AJ107:AJ108" si="57">SUM(K107/U107)</f>
        <v>49.386458127103545</v>
      </c>
    </row>
    <row r="108" spans="2:36" x14ac:dyDescent="0.2">
      <c r="B108" s="26" t="s">
        <v>129</v>
      </c>
      <c r="C108" s="2">
        <v>54</v>
      </c>
      <c r="D108" s="2" t="s">
        <v>134</v>
      </c>
      <c r="E108" s="2"/>
      <c r="F108" s="2"/>
      <c r="G108" s="47" t="s">
        <v>128</v>
      </c>
      <c r="I108" s="4">
        <v>50725</v>
      </c>
      <c r="J108" s="16">
        <v>23770878.928099971</v>
      </c>
      <c r="K108" s="4">
        <v>3413888</v>
      </c>
      <c r="M108" s="18">
        <v>468.62255156431684</v>
      </c>
      <c r="N108" s="15">
        <v>6.9629931995718577</v>
      </c>
      <c r="O108" s="8">
        <v>67.301882700837851</v>
      </c>
      <c r="Q108" s="9"/>
      <c r="S108" s="4">
        <v>1943</v>
      </c>
      <c r="T108" s="16">
        <v>-115332.57980000011</v>
      </c>
      <c r="U108" s="4">
        <v>69863</v>
      </c>
      <c r="W108" s="18">
        <v>59.357992691713903</v>
      </c>
      <c r="X108" s="15">
        <v>1.6508392110272978</v>
      </c>
      <c r="Y108" s="8">
        <v>35.956253216675243</v>
      </c>
      <c r="AC108" s="15">
        <v>5.3121539885445603</v>
      </c>
      <c r="AD108" s="20">
        <v>0.76291241945650545</v>
      </c>
      <c r="AH108" s="8">
        <f t="shared" si="55"/>
        <v>26.106536284096759</v>
      </c>
      <c r="AI108" s="5">
        <f t="shared" si="56"/>
        <v>-206.10723326679587</v>
      </c>
      <c r="AJ108" s="8">
        <f t="shared" si="57"/>
        <v>48.865465267738287</v>
      </c>
    </row>
    <row r="109" spans="2:36" x14ac:dyDescent="0.2">
      <c r="Q109" s="9"/>
      <c r="T109" s="17"/>
      <c r="W109" s="17"/>
      <c r="AH109" s="14"/>
    </row>
    <row r="110" spans="2:36" x14ac:dyDescent="0.2">
      <c r="T110" s="17"/>
      <c r="W110" s="17"/>
      <c r="AH110" s="14"/>
    </row>
    <row r="111" spans="2:36" x14ac:dyDescent="0.2">
      <c r="T111" s="17"/>
      <c r="W111" s="17"/>
      <c r="AH111" s="14"/>
    </row>
    <row r="112" spans="2:36" x14ac:dyDescent="0.2">
      <c r="T112" s="17"/>
      <c r="W112" s="17"/>
      <c r="AH112" s="14"/>
    </row>
    <row r="113" spans="20:34" x14ac:dyDescent="0.2">
      <c r="T113" s="17"/>
      <c r="W113" s="17"/>
      <c r="AH113" s="14"/>
    </row>
    <row r="114" spans="20:34" x14ac:dyDescent="0.2">
      <c r="T114" s="17"/>
      <c r="W114" s="17"/>
      <c r="AH114" s="14"/>
    </row>
    <row r="115" spans="20:34" x14ac:dyDescent="0.2">
      <c r="T115" s="17"/>
      <c r="W115" s="17"/>
      <c r="AH115" s="14"/>
    </row>
    <row r="116" spans="20:34" x14ac:dyDescent="0.2">
      <c r="T116" s="17"/>
      <c r="W116" s="17"/>
      <c r="AH116" s="14"/>
    </row>
    <row r="117" spans="20:34" x14ac:dyDescent="0.2">
      <c r="T117" s="17"/>
      <c r="W117" s="17"/>
      <c r="AH117" s="14"/>
    </row>
    <row r="118" spans="20:34" x14ac:dyDescent="0.2">
      <c r="T118" s="17"/>
      <c r="W118" s="17"/>
      <c r="AH118" s="14"/>
    </row>
    <row r="119" spans="20:34" x14ac:dyDescent="0.2">
      <c r="T119" s="17"/>
      <c r="W119" s="17"/>
      <c r="AH119" s="14"/>
    </row>
    <row r="122" spans="20:34" x14ac:dyDescent="0.2">
      <c r="T122" s="17"/>
      <c r="W122" s="17"/>
    </row>
    <row r="123" spans="20:34" x14ac:dyDescent="0.2">
      <c r="T123" s="17"/>
      <c r="W123" s="17"/>
    </row>
    <row r="124" spans="20:34" x14ac:dyDescent="0.2">
      <c r="T124" s="17"/>
      <c r="W124" s="17"/>
    </row>
    <row r="125" spans="20:34" x14ac:dyDescent="0.2">
      <c r="T125" s="17"/>
      <c r="W125" s="17"/>
    </row>
    <row r="126" spans="20:34" x14ac:dyDescent="0.2">
      <c r="T126" s="17"/>
      <c r="W126" s="17"/>
    </row>
    <row r="127" spans="20:34" x14ac:dyDescent="0.2">
      <c r="T127" s="17"/>
      <c r="W127" s="17"/>
    </row>
    <row r="128" spans="20:34" x14ac:dyDescent="0.2">
      <c r="T128" s="17"/>
      <c r="W128" s="17"/>
    </row>
    <row r="129" spans="20:23" x14ac:dyDescent="0.2">
      <c r="T129" s="17"/>
      <c r="W129" s="17"/>
    </row>
    <row r="130" spans="20:23" x14ac:dyDescent="0.2">
      <c r="T130" s="17"/>
      <c r="W130" s="17"/>
    </row>
  </sheetData>
  <sortState ref="B16:AJ89">
    <sortCondition ref="D16:D89"/>
    <sortCondition ref="E16:E89"/>
    <sortCondition ref="F16:F89"/>
    <sortCondition ref="B16:B89"/>
  </sortState>
  <mergeCells count="65">
    <mergeCell ref="S14:S15"/>
    <mergeCell ref="T14:T15"/>
    <mergeCell ref="U14:U15"/>
    <mergeCell ref="B14:B15"/>
    <mergeCell ref="C14:C15"/>
    <mergeCell ref="G14:G15"/>
    <mergeCell ref="I14:I15"/>
    <mergeCell ref="J14:J15"/>
    <mergeCell ref="K14:K15"/>
    <mergeCell ref="M14:M15"/>
    <mergeCell ref="N14:N15"/>
    <mergeCell ref="O14:O15"/>
    <mergeCell ref="D14:D15"/>
    <mergeCell ref="E14:E15"/>
    <mergeCell ref="F14:F15"/>
    <mergeCell ref="W14:W15"/>
    <mergeCell ref="X14:X15"/>
    <mergeCell ref="Y14:Y15"/>
    <mergeCell ref="AE14:AE15"/>
    <mergeCell ref="AH14:AH15"/>
    <mergeCell ref="AF14:AF15"/>
    <mergeCell ref="AG14:AG15"/>
    <mergeCell ref="AI14:AI15"/>
    <mergeCell ref="AJ14:AJ15"/>
    <mergeCell ref="AH3:AH7"/>
    <mergeCell ref="AI3:AI7"/>
    <mergeCell ref="AJ3:AJ7"/>
    <mergeCell ref="AE3:AE7"/>
    <mergeCell ref="AF3:AF7"/>
    <mergeCell ref="AG3:AG7"/>
    <mergeCell ref="X9:Y9"/>
    <mergeCell ref="X10:Y10"/>
    <mergeCell ref="X12:Y12"/>
    <mergeCell ref="X11:Y11"/>
    <mergeCell ref="X3:Y7"/>
    <mergeCell ref="AC14:AC15"/>
    <mergeCell ref="AD14:AD15"/>
    <mergeCell ref="AC3:AC7"/>
    <mergeCell ref="AD3:AD7"/>
    <mergeCell ref="D93:D94"/>
    <mergeCell ref="E93:E94"/>
    <mergeCell ref="F93:F94"/>
    <mergeCell ref="G93:G94"/>
    <mergeCell ref="I93:I94"/>
    <mergeCell ref="J93:J94"/>
    <mergeCell ref="K93:K94"/>
    <mergeCell ref="M93:M94"/>
    <mergeCell ref="N93:N94"/>
    <mergeCell ref="O93:O94"/>
    <mergeCell ref="B93:B94"/>
    <mergeCell ref="AG93:AG94"/>
    <mergeCell ref="AH93:AH94"/>
    <mergeCell ref="AI93:AI94"/>
    <mergeCell ref="AJ93:AJ94"/>
    <mergeCell ref="C93:C94"/>
    <mergeCell ref="Y93:Y94"/>
    <mergeCell ref="AC93:AC94"/>
    <mergeCell ref="AD93:AD94"/>
    <mergeCell ref="AE93:AE94"/>
    <mergeCell ref="AF93:AF94"/>
    <mergeCell ref="S93:S94"/>
    <mergeCell ref="T93:T94"/>
    <mergeCell ref="U93:U94"/>
    <mergeCell ref="W93:W94"/>
    <mergeCell ref="X93:X94"/>
  </mergeCells>
  <phoneticPr fontId="1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abSelected="1" workbookViewId="0">
      <selection activeCell="C27" sqref="C27"/>
    </sheetView>
  </sheetViews>
  <sheetFormatPr defaultRowHeight="14.25" x14ac:dyDescent="0.2"/>
  <sheetData>
    <row r="1" spans="1:1" ht="15" x14ac:dyDescent="0.2">
      <c r="A1" s="67" t="s">
        <v>140</v>
      </c>
    </row>
    <row r="2" spans="1:1" ht="15" x14ac:dyDescent="0.2">
      <c r="A2" s="68" t="s">
        <v>141</v>
      </c>
    </row>
    <row r="3" spans="1:1" ht="15" x14ac:dyDescent="0.2">
      <c r="A3" s="69" t="s">
        <v>142</v>
      </c>
    </row>
    <row r="4" spans="1:1" ht="15" x14ac:dyDescent="0.2">
      <c r="A4" s="69" t="s">
        <v>143</v>
      </c>
    </row>
    <row r="5" spans="1:1" ht="15" x14ac:dyDescent="0.2">
      <c r="A5" s="69" t="s">
        <v>144</v>
      </c>
    </row>
    <row r="6" spans="1:1" ht="15" x14ac:dyDescent="0.2">
      <c r="A6" s="68" t="s">
        <v>145</v>
      </c>
    </row>
    <row r="7" spans="1:1" ht="15" x14ac:dyDescent="0.2">
      <c r="A7" s="69" t="s">
        <v>142</v>
      </c>
    </row>
    <row r="8" spans="1:1" ht="15" x14ac:dyDescent="0.2">
      <c r="A8" s="69" t="s">
        <v>143</v>
      </c>
    </row>
    <row r="9" spans="1:1" ht="15" x14ac:dyDescent="0.2">
      <c r="A9" s="69" t="s">
        <v>144</v>
      </c>
    </row>
    <row r="10" spans="1:1" ht="15" x14ac:dyDescent="0.2">
      <c r="A10" s="68" t="s">
        <v>146</v>
      </c>
    </row>
    <row r="11" spans="1:1" ht="15" x14ac:dyDescent="0.2">
      <c r="A11" s="69" t="s">
        <v>147</v>
      </c>
    </row>
    <row r="12" spans="1:1" ht="15" x14ac:dyDescent="0.2">
      <c r="A12" s="70" t="s">
        <v>148</v>
      </c>
    </row>
    <row r="13" spans="1:1" ht="15" x14ac:dyDescent="0.2">
      <c r="A13" s="69" t="s">
        <v>149</v>
      </c>
    </row>
    <row r="14" spans="1:1" ht="15" x14ac:dyDescent="0.2">
      <c r="A14" s="70" t="s">
        <v>150</v>
      </c>
    </row>
    <row r="15" spans="1:1" ht="15" x14ac:dyDescent="0.2">
      <c r="A15" s="70" t="s">
        <v>151</v>
      </c>
    </row>
    <row r="16" spans="1:1" ht="15" x14ac:dyDescent="0.2">
      <c r="A16" s="70" t="s">
        <v>152</v>
      </c>
    </row>
    <row r="17" spans="1:1" ht="15" x14ac:dyDescent="0.2">
      <c r="A17" s="69" t="s">
        <v>153</v>
      </c>
    </row>
    <row r="18" spans="1:1" ht="15" x14ac:dyDescent="0.2">
      <c r="A18" s="69" t="s">
        <v>154</v>
      </c>
    </row>
    <row r="19" spans="1:1" ht="15" x14ac:dyDescent="0.2">
      <c r="A19" s="69" t="s">
        <v>155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DSD Summary Master</vt:lpstr>
      <vt:lpstr>DSD Annual Summary</vt:lpstr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by ernie deyle</dc:creator>
  <cp:lastModifiedBy>Geoff Lyle</cp:lastModifiedBy>
  <cp:lastPrinted>2014-09-18T14:05:58Z</cp:lastPrinted>
  <dcterms:created xsi:type="dcterms:W3CDTF">2014-08-27T22:18:04Z</dcterms:created>
  <dcterms:modified xsi:type="dcterms:W3CDTF">2018-04-11T21:50:42Z</dcterms:modified>
</cp:coreProperties>
</file>