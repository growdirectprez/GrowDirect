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_inventory" sheetId="1" state="visible" r:id="rId3"/>
    <sheet name="severity_legend" sheetId="2" state="visible" r:id="rId4"/>
    <sheet name="assumptions" sheetId="3" state="visible" r:id="rId5"/>
    <sheet name="valuation_impac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<sst xmlns="http://schemas.openxmlformats.org/spreadsheetml/2006/main" count="640" uniqueCount="343">
  <si>
    <t xml:space="preserve">ISO 27001:2022 Annex A — 93 Control Gap Inventory</t>
  </si>
  <si>
    <t xml:space="preserve">Ctrl</t>
  </si>
  <si>
    <t xml:space="preserve">Title</t>
  </si>
  <si>
    <t xml:space="preserve">Theme</t>
  </si>
  <si>
    <t xml:space="preserve">DriftPOS-block?</t>
  </si>
  <si>
    <t xml:space="preserve">Current state</t>
  </si>
  <si>
    <t xml:space="preserve">Severity</t>
  </si>
  <si>
    <t xml:space="preserve">Hours</t>
  </si>
  <si>
    <t xml:space="preserve">Cost ($)</t>
  </si>
  <si>
    <t xml:space="preserve">Weeks</t>
  </si>
  <si>
    <t xml:space="preserve">Notes/owner</t>
  </si>
  <si>
    <t xml:space="preserve">5.1</t>
  </si>
  <si>
    <t xml:space="preserve">Policies for information security</t>
  </si>
  <si>
    <t xml:space="preserve">Org</t>
  </si>
  <si>
    <t xml:space="preserve">absent</t>
  </si>
  <si>
    <t xml:space="preserve">gap</t>
  </si>
  <si>
    <t xml:space="preserve">No formal info-sec policy. Need to write one.</t>
  </si>
  <si>
    <t xml:space="preserve">5.2</t>
  </si>
  <si>
    <t xml:space="preserve">Information security roles and responsibilities</t>
  </si>
  <si>
    <t xml:space="preserve">weak</t>
  </si>
  <si>
    <t xml:space="preserve">Roles informally held; not documented.</t>
  </si>
  <si>
    <t xml:space="preserve">5.3</t>
  </si>
  <si>
    <t xml:space="preserve">Segregation of duties</t>
  </si>
  <si>
    <t xml:space="preserve">partial</t>
  </si>
  <si>
    <t xml:space="preserve">Senior engineers do everything; needs separation of admin from audit.</t>
  </si>
  <si>
    <t xml:space="preserve">5.4</t>
  </si>
  <si>
    <t xml:space="preserve">Management responsibilities</t>
  </si>
  <si>
    <t xml:space="preserve">Owner is leader; need formal management commitment.</t>
  </si>
  <si>
    <t xml:space="preserve">5.5</t>
  </si>
  <si>
    <t xml:space="preserve">Contact with authorities</t>
  </si>
  <si>
    <t xml:space="preserve">Knows local LE; needs documented contact list.</t>
  </si>
  <si>
    <t xml:space="preserve">5.6</t>
  </si>
  <si>
    <t xml:space="preserve">Contact with special interest groups</t>
  </si>
  <si>
    <t xml:space="preserve">Not part of any infosec community.</t>
  </si>
  <si>
    <t xml:space="preserve">5.7</t>
  </si>
  <si>
    <t xml:space="preserve">Threat intelligence</t>
  </si>
  <si>
    <t xml:space="preserve">No threat-intel program.</t>
  </si>
  <si>
    <t xml:space="preserve">5.8</t>
  </si>
  <si>
    <t xml:space="preserve">Information security in project management</t>
  </si>
  <si>
    <t xml:space="preserve">Project mgmt informal; security not embedded.</t>
  </si>
  <si>
    <t xml:space="preserve">5.9</t>
  </si>
  <si>
    <t xml:space="preserve">Inventory of information and other associated assets</t>
  </si>
  <si>
    <t xml:space="preserve">No formal asset inventory; deploy GCP CAI.</t>
  </si>
  <si>
    <t xml:space="preserve">5.10</t>
  </si>
  <si>
    <t xml:space="preserve">Acceptable use of information and other associated assets</t>
  </si>
  <si>
    <t xml:space="preserve">Need AUP for staff and customers.</t>
  </si>
  <si>
    <t xml:space="preserve">5.11</t>
  </si>
  <si>
    <t xml:space="preserve">Return of assets</t>
  </si>
  <si>
    <t xml:space="preserve">moderate</t>
  </si>
  <si>
    <t xml:space="preserve">Returns hardware on off-boarding; not documented.</t>
  </si>
  <si>
    <t xml:space="preserve">5.12</t>
  </si>
  <si>
    <t xml:space="preserve">Classification of information</t>
  </si>
  <si>
    <t xml:space="preserve">No data classification scheme.</t>
  </si>
  <si>
    <t xml:space="preserve">5.13</t>
  </si>
  <si>
    <t xml:space="preserve">Labeling of information</t>
  </si>
  <si>
    <t xml:space="preserve">No labeling.</t>
  </si>
  <si>
    <t xml:space="preserve">5.14</t>
  </si>
  <si>
    <t xml:space="preserve">Information transfer</t>
  </si>
  <si>
    <t xml:space="preserve">Transfers happen via email; need governance.</t>
  </si>
  <si>
    <t xml:space="preserve">5.15</t>
  </si>
  <si>
    <t xml:space="preserve">Access control</t>
  </si>
  <si>
    <t xml:space="preserve">YES</t>
  </si>
  <si>
    <t xml:space="preserve">Counterpoint has access control; modernization needs IAM.</t>
  </si>
  <si>
    <t xml:space="preserve">5.16</t>
  </si>
  <si>
    <t xml:space="preserve">Identity management</t>
  </si>
  <si>
    <t xml:space="preserve">Identity is per-system; need lifecycle process.</t>
  </si>
  <si>
    <t xml:space="preserve">5.17</t>
  </si>
  <si>
    <t xml:space="preserve">Authentication information</t>
  </si>
  <si>
    <t xml:space="preserve">Passwords/keys handled informally.</t>
  </si>
  <si>
    <t xml:space="preserve">5.18</t>
  </si>
  <si>
    <t xml:space="preserve">Access rights</t>
  </si>
  <si>
    <t xml:space="preserve">Provisioning ad-hoc; de-provisioning has gaps.</t>
  </si>
  <si>
    <t xml:space="preserve">5.19</t>
  </si>
  <si>
    <t xml:space="preserve">Information security in supplier relationships</t>
  </si>
  <si>
    <t xml:space="preserve">No vendor risk mgmt.</t>
  </si>
  <si>
    <t xml:space="preserve">5.20</t>
  </si>
  <si>
    <t xml:space="preserve">Addressing info-sec within supplier agreements</t>
  </si>
  <si>
    <t xml:space="preserve">Some vendor contracts have security clauses; not all.</t>
  </si>
  <si>
    <t xml:space="preserve">5.21</t>
  </si>
  <si>
    <t xml:space="preserve">Managing info-sec in the ICT supply chain</t>
  </si>
  <si>
    <t xml:space="preserve">Supply chain risk not analyzed.</t>
  </si>
  <si>
    <t xml:space="preserve">5.22</t>
  </si>
  <si>
    <t xml:space="preserve">Monitoring/review/change mgmt of supplier services</t>
  </si>
  <si>
    <t xml:space="preserve">No vendor monitoring program.</t>
  </si>
  <si>
    <t xml:space="preserve">5.23</t>
  </si>
  <si>
    <t xml:space="preserve">Information security for use of cloud services</t>
  </si>
  <si>
    <t xml:space="preserve">Cloud governance from scratch — Org policies needed.</t>
  </si>
  <si>
    <t xml:space="preserve">5.24</t>
  </si>
  <si>
    <t xml:space="preserve">IS incident management planning and preparation</t>
  </si>
  <si>
    <t xml:space="preserve">Informal IR; need plan + tabletop.</t>
  </si>
  <si>
    <t xml:space="preserve">5.25</t>
  </si>
  <si>
    <t xml:space="preserve">Assessment and decision on info-sec events</t>
  </si>
  <si>
    <t xml:space="preserve">No event triage process.</t>
  </si>
  <si>
    <t xml:space="preserve">5.26</t>
  </si>
  <si>
    <t xml:space="preserve">Response to info-sec incidents</t>
  </si>
  <si>
    <t xml:space="preserve">Responds to incidents reactively; need process.</t>
  </si>
  <si>
    <t xml:space="preserve">5.27</t>
  </si>
  <si>
    <t xml:space="preserve">Learning from info-sec incidents</t>
  </si>
  <si>
    <t xml:space="preserve">Postmortems happen verbally; not documented.</t>
  </si>
  <si>
    <t xml:space="preserve">5.28</t>
  </si>
  <si>
    <t xml:space="preserve">Collection of evidence</t>
  </si>
  <si>
    <t xml:space="preserve">No forensic-readiness.</t>
  </si>
  <si>
    <t xml:space="preserve">5.29</t>
  </si>
  <si>
    <t xml:space="preserve">Information security during disruption</t>
  </si>
  <si>
    <t xml:space="preserve">BCP exists for ops continuity, lacks infosec dimension.</t>
  </si>
  <si>
    <t xml:space="preserve">5.30</t>
  </si>
  <si>
    <t xml:space="preserve">ICT readiness for business continuity</t>
  </si>
  <si>
    <t xml:space="preserve">Backups exist; DR drills informal.</t>
  </si>
  <si>
    <t xml:space="preserve">5.31</t>
  </si>
  <si>
    <t xml:space="preserve">Legal/statutory/regulatory/contractual requirements</t>
  </si>
  <si>
    <t xml:space="preserve">Tax/PCI compliance tracked; broader regs less so.</t>
  </si>
  <si>
    <t xml:space="preserve">5.32</t>
  </si>
  <si>
    <t xml:space="preserve">Intellectual property rights</t>
  </si>
  <si>
    <t xml:space="preserve">IP policies for own work; not for customer customizations.</t>
  </si>
  <si>
    <t xml:space="preserve">5.33</t>
  </si>
  <si>
    <t xml:space="preserve">Protection of records</t>
  </si>
  <si>
    <t xml:space="preserve">Records kept; retention policy informal.</t>
  </si>
  <si>
    <t xml:space="preserve">5.34</t>
  </si>
  <si>
    <t xml:space="preserve">Privacy and protection of PII</t>
  </si>
  <si>
    <t xml:space="preserve">PII handled per-customer convention; need centralized policy.</t>
  </si>
  <si>
    <t xml:space="preserve">5.35</t>
  </si>
  <si>
    <t xml:space="preserve">Independent review of info-sec</t>
  </si>
  <si>
    <t xml:space="preserve">Will become external audit by Growdirect (this!) — $0 internal cost.</t>
  </si>
  <si>
    <t xml:space="preserve">5.36</t>
  </si>
  <si>
    <t xml:space="preserve">Compliance with policies/rules/standards</t>
  </si>
  <si>
    <t xml:space="preserve">No compliance monitoring.</t>
  </si>
  <si>
    <t xml:space="preserve">5.37</t>
  </si>
  <si>
    <t xml:space="preserve">Documented operating procedures</t>
  </si>
  <si>
    <t xml:space="preserve">Some procedures documented; SOPs incomplete.</t>
  </si>
  <si>
    <t xml:space="preserve">6.1</t>
  </si>
  <si>
    <t xml:space="preserve">Screening</t>
  </si>
  <si>
    <t xml:space="preserve">People</t>
  </si>
  <si>
    <t xml:space="preserve">Background checks done; not formalized.</t>
  </si>
  <si>
    <t xml:space="preserve">6.2</t>
  </si>
  <si>
    <t xml:space="preserve">Terms and conditions of employment</t>
  </si>
  <si>
    <t xml:space="preserve">Employment contracts include some security obligations.</t>
  </si>
  <si>
    <t xml:space="preserve">6.3</t>
  </si>
  <si>
    <t xml:space="preserve">Info-sec awareness, education and training</t>
  </si>
  <si>
    <t xml:space="preserve">No formal awareness training; deploy LMS.</t>
  </si>
  <si>
    <t xml:space="preserve">6.4</t>
  </si>
  <si>
    <t xml:space="preserve">Disciplinary process</t>
  </si>
  <si>
    <t xml:space="preserve">Disciplinary process exists; not security-specific.</t>
  </si>
  <si>
    <t xml:space="preserve">6.5</t>
  </si>
  <si>
    <t xml:space="preserve">Responsibilities after termination/change of employment</t>
  </si>
  <si>
    <t xml:space="preserve">Off-boarding inconsistent; need security checklist.</t>
  </si>
  <si>
    <t xml:space="preserve">6.6</t>
  </si>
  <si>
    <t xml:space="preserve">Confidentiality or non-disclosure agreements</t>
  </si>
  <si>
    <t xml:space="preserve">compliant</t>
  </si>
  <si>
    <t xml:space="preserve">NDAs in place — typical for a 20-year VAR.</t>
  </si>
  <si>
    <t xml:space="preserve">6.7</t>
  </si>
  <si>
    <t xml:space="preserve">Remote working</t>
  </si>
  <si>
    <t xml:space="preserve">Remote work informal; need policy + IAP.</t>
  </si>
  <si>
    <t xml:space="preserve">6.8</t>
  </si>
  <si>
    <t xml:space="preserve">Information security event reporting</t>
  </si>
  <si>
    <t xml:space="preserve">Reporting channel exists; not formalized.</t>
  </si>
  <si>
    <t xml:space="preserve">7.1</t>
  </si>
  <si>
    <t xml:space="preserve">Physical security perimeters</t>
  </si>
  <si>
    <t xml:space="preserve">Physical</t>
  </si>
  <si>
    <t xml:space="preserve">Office locked; basic perimeter.</t>
  </si>
  <si>
    <t xml:space="preserve">7.2</t>
  </si>
  <si>
    <t xml:space="preserve">Physical entry</t>
  </si>
  <si>
    <t xml:space="preserve">Badge/key access; works.</t>
  </si>
  <si>
    <t xml:space="preserve">7.3</t>
  </si>
  <si>
    <t xml:space="preserve">Securing offices, rooms and facilities</t>
  </si>
  <si>
    <t xml:space="preserve">Server room locked.</t>
  </si>
  <si>
    <t xml:space="preserve">7.4</t>
  </si>
  <si>
    <t xml:space="preserve">Physical security monitoring</t>
  </si>
  <si>
    <t xml:space="preserve">Cameras at office; not 24/7 monitored.</t>
  </si>
  <si>
    <t xml:space="preserve">7.5</t>
  </si>
  <si>
    <t xml:space="preserve">Protecting against physical/environmental threats</t>
  </si>
  <si>
    <t xml:space="preserve">Standard fire/HVAC; no formal threat model.</t>
  </si>
  <si>
    <t xml:space="preserve">7.6</t>
  </si>
  <si>
    <t xml:space="preserve">Working in secure areas</t>
  </si>
  <si>
    <t xml:space="preserve">Server room procedures exist informally.</t>
  </si>
  <si>
    <t xml:space="preserve">7.7</t>
  </si>
  <si>
    <t xml:space="preserve">Clear desk and clear screen</t>
  </si>
  <si>
    <t xml:space="preserve">Clear desk policy informal.</t>
  </si>
  <si>
    <t xml:space="preserve">7.8</t>
  </si>
  <si>
    <t xml:space="preserve">Equipment siting and protection</t>
  </si>
  <si>
    <t xml:space="preserve">Equipment sited reasonably.</t>
  </si>
  <si>
    <t xml:space="preserve">7.9</t>
  </si>
  <si>
    <t xml:space="preserve">Security of assets off-premises</t>
  </si>
  <si>
    <t xml:space="preserve">Off-premises asset controls weak.</t>
  </si>
  <si>
    <t xml:space="preserve">7.10</t>
  </si>
  <si>
    <t xml:space="preserve">Storage media</t>
  </si>
  <si>
    <t xml:space="preserve">Storage media disposal informal.</t>
  </si>
  <si>
    <t xml:space="preserve">7.11</t>
  </si>
  <si>
    <t xml:space="preserve">Supporting utilities</t>
  </si>
  <si>
    <t xml:space="preserve">Standard utilities; no redundancy beyond stock.</t>
  </si>
  <si>
    <t xml:space="preserve">7.12</t>
  </si>
  <si>
    <t xml:space="preserve">Cabling security</t>
  </si>
  <si>
    <t xml:space="preserve">Cabling reasonable; not formally secured.</t>
  </si>
  <si>
    <t xml:space="preserve">7.13</t>
  </si>
  <si>
    <t xml:space="preserve">Equipment maintenance</t>
  </si>
  <si>
    <t xml:space="preserve">Maintenance happens; no formal procedures needed for this scale.</t>
  </si>
  <si>
    <t xml:space="preserve">7.14</t>
  </si>
  <si>
    <t xml:space="preserve">Secure disposal or re-use of equipment</t>
  </si>
  <si>
    <t xml:space="preserve">Disposal informal; need formal sanitization process.</t>
  </si>
  <si>
    <t xml:space="preserve">8.1</t>
  </si>
  <si>
    <t xml:space="preserve">User end point devices</t>
  </si>
  <si>
    <t xml:space="preserve">Tech</t>
  </si>
  <si>
    <t xml:space="preserve">No EDR/MDM. Deploy CrowdStrike + Workspace MDM.</t>
  </si>
  <si>
    <t xml:space="preserve">8.2</t>
  </si>
  <si>
    <t xml:space="preserve">Privileged access rights</t>
  </si>
  <si>
    <t xml:space="preserve">Privileged access ad-hoc; deploy Cloud IAM + PAM.</t>
  </si>
  <si>
    <t xml:space="preserve">8.3</t>
  </si>
  <si>
    <t xml:space="preserve">Information access restriction</t>
  </si>
  <si>
    <t xml:space="preserve">Access enforcement weak; tighten with VPC-SC + IAM.</t>
  </si>
  <si>
    <t xml:space="preserve">8.4</t>
  </si>
  <si>
    <t xml:space="preserve">Access to source code</t>
  </si>
  <si>
    <t xml:space="preserve">Source code in private GitHub; access controls informal.</t>
  </si>
  <si>
    <t xml:space="preserve">8.5</t>
  </si>
  <si>
    <t xml:space="preserve">Secure authentication</t>
  </si>
  <si>
    <t xml:space="preserve">No MFA enforcement. Deploy Cloud Identity 2SV org-wide.</t>
  </si>
  <si>
    <t xml:space="preserve">8.6</t>
  </si>
  <si>
    <t xml:space="preserve">Capacity management</t>
  </si>
  <si>
    <t xml:space="preserve">Capacity reactive; deploy Cloud Monitoring.</t>
  </si>
  <si>
    <t xml:space="preserve">8.7</t>
  </si>
  <si>
    <t xml:space="preserve">Protection against malware</t>
  </si>
  <si>
    <t xml:space="preserve">Workstation AV present; no centralized management.</t>
  </si>
  <si>
    <t xml:space="preserve">8.8</t>
  </si>
  <si>
    <t xml:space="preserve">Management of technical vulnerabilities</t>
  </si>
  <si>
    <t xml:space="preserve">No vuln scanning. Deploy Container Analysis + Wiz.</t>
  </si>
  <si>
    <t xml:space="preserve">8.9</t>
  </si>
  <si>
    <t xml:space="preserve">Configuration management</t>
  </si>
  <si>
    <t xml:space="preserve">No IaC. Stand up Terraform + Config Connector.</t>
  </si>
  <si>
    <t xml:space="preserve">8.10</t>
  </si>
  <si>
    <t xml:space="preserve">Information deletion</t>
  </si>
  <si>
    <t xml:space="preserve">Deletion processes ad-hoc.</t>
  </si>
  <si>
    <t xml:space="preserve">8.11</t>
  </si>
  <si>
    <t xml:space="preserve">Data masking</t>
  </si>
  <si>
    <t xml:space="preserve">No data masking. Deploy DLP API for non-prod.</t>
  </si>
  <si>
    <t xml:space="preserve">8.12</t>
  </si>
  <si>
    <t xml:space="preserve">Data leakage prevention</t>
  </si>
  <si>
    <t xml:space="preserve">No DLP. Deploy DLP API + Workspace controls.</t>
  </si>
  <si>
    <t xml:space="preserve">8.13</t>
  </si>
  <si>
    <t xml:space="preserve">Information backup</t>
  </si>
  <si>
    <t xml:space="preserve">Backups exist; no recovery test. Add cross-region + drill.</t>
  </si>
  <si>
    <t xml:space="preserve">8.14</t>
  </si>
  <si>
    <t xml:space="preserve">Redundancy of information processing facilities</t>
  </si>
  <si>
    <t xml:space="preserve">Single-zone DBs; need HA + DR setup.</t>
  </si>
  <si>
    <t xml:space="preserve">8.15</t>
  </si>
  <si>
    <t xml:space="preserve">Logging</t>
  </si>
  <si>
    <t xml:space="preserve">Logs scattered. Centralize on Cloud Logging + sinks.</t>
  </si>
  <si>
    <t xml:space="preserve">8.16</t>
  </si>
  <si>
    <t xml:space="preserve">Monitoring activities</t>
  </si>
  <si>
    <t xml:space="preserve">No SIEM. Deploy SCC Premium + Chronicle.</t>
  </si>
  <si>
    <t xml:space="preserve">8.17</t>
  </si>
  <si>
    <t xml:space="preserve">Clock synchronization</t>
  </si>
  <si>
    <t xml:space="preserve">Use GCP-managed NTP; no work needed.</t>
  </si>
  <si>
    <t xml:space="preserve">8.18</t>
  </si>
  <si>
    <t xml:space="preserve">Use of privileged utility programs</t>
  </si>
  <si>
    <t xml:space="preserve">Admin tooling informal; deploy IAP + session recording.</t>
  </si>
  <si>
    <t xml:space="preserve">8.19</t>
  </si>
  <si>
    <t xml:space="preserve">Installation of software on operational systems</t>
  </si>
  <si>
    <t xml:space="preserve">Software install controls informal.</t>
  </si>
  <si>
    <t xml:space="preserve">8.20</t>
  </si>
  <si>
    <t xml:space="preserve">Networks security</t>
  </si>
  <si>
    <t xml:space="preserve">Network security from scratch in cloud. VPC + Cloud Armor.</t>
  </si>
  <si>
    <t xml:space="preserve">8.21</t>
  </si>
  <si>
    <t xml:space="preserve">Security of network services</t>
  </si>
  <si>
    <t xml:space="preserve">Network services controls weak.</t>
  </si>
  <si>
    <t xml:space="preserve">8.22</t>
  </si>
  <si>
    <t xml:space="preserve">Segregation of networks</t>
  </si>
  <si>
    <t xml:space="preserve">No segmentation. Plan VPC + tenant isolation.</t>
  </si>
  <si>
    <t xml:space="preserve">8.23</t>
  </si>
  <si>
    <t xml:space="preserve">Web filtering</t>
  </si>
  <si>
    <t xml:space="preserve">Web filtering minimal; deploy Cloud DNS Forwarder.</t>
  </si>
  <si>
    <t xml:space="preserve">8.24</t>
  </si>
  <si>
    <t xml:space="preserve">Use of cryptography</t>
  </si>
  <si>
    <t xml:space="preserve">Encryption inconsistent. Deploy Cloud KMS comprehensively.</t>
  </si>
  <si>
    <t xml:space="preserve">8.25</t>
  </si>
  <si>
    <t xml:space="preserve">Secure development life cycle</t>
  </si>
  <si>
    <t xml:space="preserve">No formal SDLC. Deploy Cloud Build + Binary Auth.</t>
  </si>
  <si>
    <t xml:space="preserve">8.26</t>
  </si>
  <si>
    <t xml:space="preserve">Application security requirements</t>
  </si>
  <si>
    <t xml:space="preserve">App security requirements informal.</t>
  </si>
  <si>
    <t xml:space="preserve">8.27</t>
  </si>
  <si>
    <t xml:space="preserve">Secure system architecture/engineering principles</t>
  </si>
  <si>
    <t xml:space="preserve">Architecture review informal.</t>
  </si>
  <si>
    <t xml:space="preserve">8.28</t>
  </si>
  <si>
    <t xml:space="preserve">Secure coding</t>
  </si>
  <si>
    <t xml:space="preserve">Coding standards exist; not security-focused.</t>
  </si>
  <si>
    <t xml:space="preserve">8.29</t>
  </si>
  <si>
    <t xml:space="preserve">Security testing in development and acceptance</t>
  </si>
  <si>
    <t xml:space="preserve">No SAST/DAST. Deploy Web Security Scanner + Snyk.</t>
  </si>
  <si>
    <t xml:space="preserve">8.30</t>
  </si>
  <si>
    <t xml:space="preserve">Outsourced development</t>
  </si>
  <si>
    <t xml:space="preserve">No outsourced dev typical for this scale.</t>
  </si>
  <si>
    <t xml:space="preserve">8.31</t>
  </si>
  <si>
    <t xml:space="preserve">Separation of dev/test/prod environments</t>
  </si>
  <si>
    <t xml:space="preserve">Env separation informal. Formalize with Org/Folder structure.</t>
  </si>
  <si>
    <t xml:space="preserve">8.32</t>
  </si>
  <si>
    <t xml:space="preserve">Change management</t>
  </si>
  <si>
    <t xml:space="preserve">Change mgmt informal; deploy Cloud Build + IaC review.</t>
  </si>
  <si>
    <t xml:space="preserve">8.33</t>
  </si>
  <si>
    <t xml:space="preserve">Test information</t>
  </si>
  <si>
    <t xml:space="preserve">Test data handling informal.</t>
  </si>
  <si>
    <t xml:space="preserve">8.34</t>
  </si>
  <si>
    <t xml:space="preserve">Protection of info systems during audit testing</t>
  </si>
  <si>
    <t xml:space="preserve">Standard practice; no special audit-time work needed.</t>
  </si>
  <si>
    <t xml:space="preserve">TOTAL</t>
  </si>
  <si>
    <t xml:space="preserve">DriftPOS-blocking subset</t>
  </si>
  <si>
    <t xml:space="preserve">By theme:</t>
  </si>
  <si>
    <t xml:space="preserve">Severity legend (input options for column F)</t>
  </si>
  <si>
    <t xml:space="preserve">Value</t>
  </si>
  <si>
    <t xml:space="preserve">Meaning</t>
  </si>
  <si>
    <t xml:space="preserve">Control is fully met. Evidence exists. No remediation required.</t>
  </si>
  <si>
    <t xml:space="preserve">Control is partially met. Some evidence exists; gaps in either coverage or documentation.</t>
  </si>
  <si>
    <t xml:space="preserve">Control is not met. Remediation required before certifiable posture.</t>
  </si>
  <si>
    <t xml:space="preserve">unknown</t>
  </si>
  <si>
    <t xml:space="preserve">Current state not yet known. Discovery item for next iteration.</t>
  </si>
  <si>
    <t xml:space="preserve">Current-state options (input column E):</t>
  </si>
  <si>
    <t xml:space="preserve">strong</t>
  </si>
  <si>
    <t xml:space="preserve">Native control in place; evidence-ready</t>
  </si>
  <si>
    <t xml:space="preserve">Control in place but documentation gaps or partial coverage</t>
  </si>
  <si>
    <t xml:space="preserve">Practice exists but no formal control or evidence</t>
  </si>
  <si>
    <t xml:space="preserve">No practice; full implementation needed</t>
  </si>
  <si>
    <t xml:space="preserve">Discovery required</t>
  </si>
  <si>
    <t xml:space="preserve">Workload Estimator Assumptions</t>
  </si>
  <si>
    <t xml:space="preserve">Assumption</t>
  </si>
  <si>
    <t xml:space="preserve">Notes</t>
  </si>
  <si>
    <t xml:space="preserve">Loaded engineering rate ($/hr)</t>
  </si>
  <si>
    <t xml:space="preserve">Should match cost-model loaded rate</t>
  </si>
  <si>
    <t xml:space="preserve">Effective FTE count for ISO remediation</t>
  </si>
  <si>
    <t xml:space="preserve">How many FTEs working on Phase 2 in parallel</t>
  </si>
  <si>
    <t xml:space="preserve">Effective hours per FTE-week</t>
  </si>
  <si>
    <t xml:space="preserve">40 nominal − 25% overhead</t>
  </si>
  <si>
    <t xml:space="preserve">Compliance-pressure factor (for valuation discount)</t>
  </si>
  <si>
    <t xml:space="preserve">See valuation-impact-formulas Formula 1</t>
  </si>
  <si>
    <t xml:space="preserve">Skill version</t>
  </si>
  <si>
    <t xml:space="preserve">saas-acquisition-diligence v1.0</t>
  </si>
  <si>
    <t xml:space="preserve">Linked cost-model run</t>
  </si>
  <si>
    <t xml:space="preserve">{path to cost-model-output.xlsx}</t>
  </si>
  <si>
    <t xml:space="preserve">Cross-reference</t>
  </si>
  <si>
    <t xml:space="preserve">Valuation Impact — Gap-to-discount math</t>
  </si>
  <si>
    <t xml:space="preserve">Line</t>
  </si>
  <si>
    <t xml:space="preserve">Best ($)</t>
  </si>
  <si>
    <t xml:space="preserve">Expected ($)</t>
  </si>
  <si>
    <t xml:space="preserve">Worst ($)</t>
  </si>
  <si>
    <t xml:space="preserve">Total ISMS-gap remediation cost (linked from gap_inventory)</t>
  </si>
  <si>
    <t xml:space="preserve">Compliance-pressure factor</t>
  </si>
  <si>
    <t xml:space="preserve">Discount-for-ISMS-gap (price reduction)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</si>
</sst>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h;\(#,##0\)_h;\-_h"/>
    <numFmt numFmtId="166" formatCode="\$#,##0;&quot;($&quot;#,##0\);\-"/>
    <numFmt numFmtId="167" formatCode="#,##0.0_w;\(#,##0.0\)_w;\-_w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9" min="8" style="1" width="14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true" outlineLevel="0" collapsed="false">
      <c r="A3" s="4" t="s">
        <v>11</v>
      </c>
      <c r="B3" s="4" t="s">
        <v>12</v>
      </c>
      <c r="C3" s="5" t="s">
        <v>13</v>
      </c>
      <c r="D3" s="5"/>
      <c r="E3" s="6" t="s">
        <v>14</v>
      </c>
      <c r="F3" s="6" t="s">
        <v>15</v>
      </c>
      <c r="G3" s="7" t="n">
        <v>40</v>
      </c>
      <c r="H3" s="8" t="n">
        <f aca="false">G3*assumptions!$B$3</f>
        <v>8000</v>
      </c>
      <c r="I3" s="9" t="n">
        <f aca="false">G3/(assumptions!$B$4*assumptions!$B$5)</f>
        <v>0.444444444444444</v>
      </c>
      <c r="J3" s="4" t="s">
        <v>16</v>
      </c>
    </row>
    <row r="4" customFormat="false" ht="15" hidden="false" customHeight="true" outlineLevel="0" collapsed="false">
      <c r="A4" s="4" t="s">
        <v>17</v>
      </c>
      <c r="B4" s="4" t="s">
        <v>18</v>
      </c>
      <c r="C4" s="5" t="s">
        <v>13</v>
      </c>
      <c r="D4" s="5"/>
      <c r="E4" s="6" t="s">
        <v>19</v>
      </c>
      <c r="F4" s="6" t="s">
        <v>15</v>
      </c>
      <c r="G4" s="7" t="n">
        <v>16</v>
      </c>
      <c r="H4" s="8" t="n">
        <f aca="false">G4*assumptions!$B$3</f>
        <v>3200</v>
      </c>
      <c r="I4" s="9" t="n">
        <f aca="false">G4/(assumptions!$B$4*assumptions!$B$5)</f>
        <v>0.177777777777778</v>
      </c>
      <c r="J4" s="4" t="s">
        <v>20</v>
      </c>
    </row>
    <row r="5" customFormat="false" ht="15" hidden="false" customHeight="true" outlineLevel="0" collapsed="false">
      <c r="A5" s="4" t="s">
        <v>21</v>
      </c>
      <c r="B5" s="4" t="s">
        <v>22</v>
      </c>
      <c r="C5" s="5" t="s">
        <v>13</v>
      </c>
      <c r="D5" s="5"/>
      <c r="E5" s="6" t="s">
        <v>19</v>
      </c>
      <c r="F5" s="6" t="s">
        <v>23</v>
      </c>
      <c r="G5" s="7" t="n">
        <v>16</v>
      </c>
      <c r="H5" s="8" t="n">
        <f aca="false">G5*assumptions!$B$3</f>
        <v>3200</v>
      </c>
      <c r="I5" s="9" t="n">
        <f aca="false">G5/(assumptions!$B$4*assumptions!$B$5)</f>
        <v>0.177777777777778</v>
      </c>
      <c r="J5" s="4" t="s">
        <v>24</v>
      </c>
    </row>
    <row r="6" customFormat="false" ht="15" hidden="false" customHeight="true" outlineLevel="0" collapsed="false">
      <c r="A6" s="4" t="s">
        <v>25</v>
      </c>
      <c r="B6" s="4" t="s">
        <v>26</v>
      </c>
      <c r="C6" s="5" t="s">
        <v>13</v>
      </c>
      <c r="D6" s="5"/>
      <c r="E6" s="6" t="s">
        <v>19</v>
      </c>
      <c r="F6" s="6" t="s">
        <v>23</v>
      </c>
      <c r="G6" s="7" t="n">
        <v>24</v>
      </c>
      <c r="H6" s="8" t="n">
        <f aca="false">G6*assumptions!$B$3</f>
        <v>4800</v>
      </c>
      <c r="I6" s="9" t="n">
        <f aca="false">G6/(assumptions!$B$4*assumptions!$B$5)</f>
        <v>0.266666666666667</v>
      </c>
      <c r="J6" s="4" t="s">
        <v>27</v>
      </c>
    </row>
    <row r="7" customFormat="false" ht="15" hidden="false" customHeight="true" outlineLevel="0" collapsed="false">
      <c r="A7" s="4" t="s">
        <v>28</v>
      </c>
      <c r="B7" s="4" t="s">
        <v>29</v>
      </c>
      <c r="C7" s="5" t="s">
        <v>13</v>
      </c>
      <c r="D7" s="5"/>
      <c r="E7" s="6" t="s">
        <v>19</v>
      </c>
      <c r="F7" s="6" t="s">
        <v>23</v>
      </c>
      <c r="G7" s="7" t="n">
        <v>8</v>
      </c>
      <c r="H7" s="8" t="n">
        <f aca="false">G7*assumptions!$B$3</f>
        <v>1600</v>
      </c>
      <c r="I7" s="9" t="n">
        <f aca="false">G7/(assumptions!$B$4*assumptions!$B$5)</f>
        <v>0.0888888888888889</v>
      </c>
      <c r="J7" s="4" t="s">
        <v>30</v>
      </c>
    </row>
    <row r="8" customFormat="false" ht="15" hidden="false" customHeight="true" outlineLevel="0" collapsed="false">
      <c r="A8" s="4" t="s">
        <v>31</v>
      </c>
      <c r="B8" s="4" t="s">
        <v>32</v>
      </c>
      <c r="C8" s="5" t="s">
        <v>13</v>
      </c>
      <c r="D8" s="5"/>
      <c r="E8" s="6" t="s">
        <v>14</v>
      </c>
      <c r="F8" s="6" t="s">
        <v>15</v>
      </c>
      <c r="G8" s="7" t="n">
        <v>8</v>
      </c>
      <c r="H8" s="8" t="n">
        <f aca="false">G8*assumptions!$B$3</f>
        <v>1600</v>
      </c>
      <c r="I8" s="9" t="n">
        <f aca="false">G8/(assumptions!$B$4*assumptions!$B$5)</f>
        <v>0.0888888888888889</v>
      </c>
      <c r="J8" s="4" t="s">
        <v>33</v>
      </c>
    </row>
    <row r="9" customFormat="false" ht="15" hidden="false" customHeight="true" outlineLevel="0" collapsed="false">
      <c r="A9" s="4" t="s">
        <v>34</v>
      </c>
      <c r="B9" s="4" t="s">
        <v>35</v>
      </c>
      <c r="C9" s="5" t="s">
        <v>13</v>
      </c>
      <c r="D9" s="5"/>
      <c r="E9" s="6" t="s">
        <v>14</v>
      </c>
      <c r="F9" s="6" t="s">
        <v>15</v>
      </c>
      <c r="G9" s="7" t="n">
        <v>16</v>
      </c>
      <c r="H9" s="8" t="n">
        <f aca="false">G9*assumptions!$B$3</f>
        <v>3200</v>
      </c>
      <c r="I9" s="9" t="n">
        <f aca="false">G9/(assumptions!$B$4*assumptions!$B$5)</f>
        <v>0.177777777777778</v>
      </c>
      <c r="J9" s="4" t="s">
        <v>36</v>
      </c>
    </row>
    <row r="10" customFormat="false" ht="15" hidden="false" customHeight="true" outlineLevel="0" collapsed="false">
      <c r="A10" s="4" t="s">
        <v>37</v>
      </c>
      <c r="B10" s="4" t="s">
        <v>38</v>
      </c>
      <c r="C10" s="5" t="s">
        <v>13</v>
      </c>
      <c r="D10" s="5"/>
      <c r="E10" s="6" t="s">
        <v>19</v>
      </c>
      <c r="F10" s="6" t="s">
        <v>23</v>
      </c>
      <c r="G10" s="7" t="n">
        <v>8</v>
      </c>
      <c r="H10" s="8" t="n">
        <f aca="false">G10*assumptions!$B$3</f>
        <v>1600</v>
      </c>
      <c r="I10" s="9" t="n">
        <f aca="false">G10/(assumptions!$B$4*assumptions!$B$5)</f>
        <v>0.0888888888888889</v>
      </c>
      <c r="J10" s="4" t="s">
        <v>39</v>
      </c>
    </row>
    <row r="11" customFormat="false" ht="15" hidden="false" customHeight="true" outlineLevel="0" collapsed="false">
      <c r="A11" s="4" t="s">
        <v>40</v>
      </c>
      <c r="B11" s="4" t="s">
        <v>41</v>
      </c>
      <c r="C11" s="5" t="s">
        <v>13</v>
      </c>
      <c r="D11" s="5"/>
      <c r="E11" s="6" t="s">
        <v>19</v>
      </c>
      <c r="F11" s="6" t="s">
        <v>15</v>
      </c>
      <c r="G11" s="7" t="n">
        <v>40</v>
      </c>
      <c r="H11" s="8" t="n">
        <f aca="false">G11*assumptions!$B$3</f>
        <v>8000</v>
      </c>
      <c r="I11" s="9" t="n">
        <f aca="false">G11/(assumptions!$B$4*assumptions!$B$5)</f>
        <v>0.444444444444444</v>
      </c>
      <c r="J11" s="4" t="s">
        <v>42</v>
      </c>
    </row>
    <row r="12" customFormat="false" ht="15" hidden="false" customHeight="true" outlineLevel="0" collapsed="false">
      <c r="A12" s="4" t="s">
        <v>43</v>
      </c>
      <c r="B12" s="4" t="s">
        <v>44</v>
      </c>
      <c r="C12" s="5" t="s">
        <v>13</v>
      </c>
      <c r="D12" s="5"/>
      <c r="E12" s="6" t="s">
        <v>14</v>
      </c>
      <c r="F12" s="6" t="s">
        <v>15</v>
      </c>
      <c r="G12" s="7" t="n">
        <v>8</v>
      </c>
      <c r="H12" s="8" t="n">
        <f aca="false">G12*assumptions!$B$3</f>
        <v>1600</v>
      </c>
      <c r="I12" s="9" t="n">
        <f aca="false">G12/(assumptions!$B$4*assumptions!$B$5)</f>
        <v>0.0888888888888889</v>
      </c>
      <c r="J12" s="4" t="s">
        <v>45</v>
      </c>
    </row>
    <row r="13" customFormat="false" ht="15" hidden="false" customHeight="true" outlineLevel="0" collapsed="false">
      <c r="A13" s="4" t="s">
        <v>46</v>
      </c>
      <c r="B13" s="4" t="s">
        <v>47</v>
      </c>
      <c r="C13" s="5" t="s">
        <v>13</v>
      </c>
      <c r="D13" s="5"/>
      <c r="E13" s="6" t="s">
        <v>48</v>
      </c>
      <c r="F13" s="6" t="s">
        <v>23</v>
      </c>
      <c r="G13" s="7" t="n">
        <v>8</v>
      </c>
      <c r="H13" s="8" t="n">
        <f aca="false">G13*assumptions!$B$3</f>
        <v>1600</v>
      </c>
      <c r="I13" s="9" t="n">
        <f aca="false">G13/(assumptions!$B$4*assumptions!$B$5)</f>
        <v>0.0888888888888889</v>
      </c>
      <c r="J13" s="4" t="s">
        <v>49</v>
      </c>
    </row>
    <row r="14" customFormat="false" ht="15" hidden="false" customHeight="true" outlineLevel="0" collapsed="false">
      <c r="A14" s="4" t="s">
        <v>50</v>
      </c>
      <c r="B14" s="4" t="s">
        <v>51</v>
      </c>
      <c r="C14" s="5" t="s">
        <v>13</v>
      </c>
      <c r="D14" s="5"/>
      <c r="E14" s="6" t="s">
        <v>14</v>
      </c>
      <c r="F14" s="6" t="s">
        <v>15</v>
      </c>
      <c r="G14" s="7" t="n">
        <v>16</v>
      </c>
      <c r="H14" s="8" t="n">
        <f aca="false">G14*assumptions!$B$3</f>
        <v>3200</v>
      </c>
      <c r="I14" s="9" t="n">
        <f aca="false">G14/(assumptions!$B$4*assumptions!$B$5)</f>
        <v>0.177777777777778</v>
      </c>
      <c r="J14" s="4" t="s">
        <v>52</v>
      </c>
    </row>
    <row r="15" customFormat="false" ht="15" hidden="false" customHeight="true" outlineLevel="0" collapsed="false">
      <c r="A15" s="4" t="s">
        <v>53</v>
      </c>
      <c r="B15" s="4" t="s">
        <v>54</v>
      </c>
      <c r="C15" s="5" t="s">
        <v>13</v>
      </c>
      <c r="D15" s="5"/>
      <c r="E15" s="6" t="s">
        <v>14</v>
      </c>
      <c r="F15" s="6" t="s">
        <v>15</v>
      </c>
      <c r="G15" s="7" t="n">
        <v>8</v>
      </c>
      <c r="H15" s="8" t="n">
        <f aca="false">G15*assumptions!$B$3</f>
        <v>1600</v>
      </c>
      <c r="I15" s="9" t="n">
        <f aca="false">G15/(assumptions!$B$4*assumptions!$B$5)</f>
        <v>0.0888888888888889</v>
      </c>
      <c r="J15" s="4" t="s">
        <v>55</v>
      </c>
    </row>
    <row r="16" customFormat="false" ht="15" hidden="false" customHeight="true" outlineLevel="0" collapsed="false">
      <c r="A16" s="4" t="s">
        <v>56</v>
      </c>
      <c r="B16" s="4" t="s">
        <v>57</v>
      </c>
      <c r="C16" s="5" t="s">
        <v>13</v>
      </c>
      <c r="D16" s="5"/>
      <c r="E16" s="6" t="s">
        <v>19</v>
      </c>
      <c r="F16" s="6" t="s">
        <v>23</v>
      </c>
      <c r="G16" s="7" t="n">
        <v>16</v>
      </c>
      <c r="H16" s="8" t="n">
        <f aca="false">G16*assumptions!$B$3</f>
        <v>3200</v>
      </c>
      <c r="I16" s="9" t="n">
        <f aca="false">G16/(assumptions!$B$4*assumptions!$B$5)</f>
        <v>0.177777777777778</v>
      </c>
      <c r="J16" s="4" t="s">
        <v>58</v>
      </c>
    </row>
    <row r="17" customFormat="false" ht="15" hidden="false" customHeight="true" outlineLevel="0" collapsed="false">
      <c r="A17" s="10" t="s">
        <v>59</v>
      </c>
      <c r="B17" s="10" t="s">
        <v>60</v>
      </c>
      <c r="C17" s="11" t="s">
        <v>13</v>
      </c>
      <c r="D17" s="12" t="s">
        <v>61</v>
      </c>
      <c r="E17" s="6" t="s">
        <v>48</v>
      </c>
      <c r="F17" s="6" t="s">
        <v>23</v>
      </c>
      <c r="G17" s="7" t="n">
        <v>32</v>
      </c>
      <c r="H17" s="13" t="n">
        <f aca="false">G17*assumptions!$B$3</f>
        <v>6400</v>
      </c>
      <c r="I17" s="14" t="n">
        <f aca="false">G17/(assumptions!$B$4*assumptions!$B$5)</f>
        <v>0.355555555555556</v>
      </c>
      <c r="J17" s="10" t="s">
        <v>62</v>
      </c>
    </row>
    <row r="18" customFormat="false" ht="15" hidden="false" customHeight="true" outlineLevel="0" collapsed="false">
      <c r="A18" s="4" t="s">
        <v>63</v>
      </c>
      <c r="B18" s="4" t="s">
        <v>64</v>
      </c>
      <c r="C18" s="5" t="s">
        <v>13</v>
      </c>
      <c r="D18" s="5"/>
      <c r="E18" s="6" t="s">
        <v>19</v>
      </c>
      <c r="F18" s="6" t="s">
        <v>23</v>
      </c>
      <c r="G18" s="7" t="n">
        <v>24</v>
      </c>
      <c r="H18" s="8" t="n">
        <f aca="false">G18*assumptions!$B$3</f>
        <v>4800</v>
      </c>
      <c r="I18" s="9" t="n">
        <f aca="false">G18/(assumptions!$B$4*assumptions!$B$5)</f>
        <v>0.266666666666667</v>
      </c>
      <c r="J18" s="4" t="s">
        <v>65</v>
      </c>
    </row>
    <row r="19" customFormat="false" ht="15" hidden="false" customHeight="true" outlineLevel="0" collapsed="false">
      <c r="A19" s="10" t="s">
        <v>66</v>
      </c>
      <c r="B19" s="10" t="s">
        <v>67</v>
      </c>
      <c r="C19" s="11" t="s">
        <v>13</v>
      </c>
      <c r="D19" s="12" t="s">
        <v>61</v>
      </c>
      <c r="E19" s="6" t="s">
        <v>48</v>
      </c>
      <c r="F19" s="6" t="s">
        <v>23</v>
      </c>
      <c r="G19" s="7" t="n">
        <v>24</v>
      </c>
      <c r="H19" s="13" t="n">
        <f aca="false">G19*assumptions!$B$3</f>
        <v>4800</v>
      </c>
      <c r="I19" s="14" t="n">
        <f aca="false">G19/(assumptions!$B$4*assumptions!$B$5)</f>
        <v>0.266666666666667</v>
      </c>
      <c r="J19" s="10" t="s">
        <v>68</v>
      </c>
    </row>
    <row r="20" customFormat="false" ht="15" hidden="false" customHeight="true" outlineLevel="0" collapsed="false">
      <c r="A20" s="4" t="s">
        <v>69</v>
      </c>
      <c r="B20" s="4" t="s">
        <v>70</v>
      </c>
      <c r="C20" s="5" t="s">
        <v>13</v>
      </c>
      <c r="D20" s="5"/>
      <c r="E20" s="6" t="s">
        <v>19</v>
      </c>
      <c r="F20" s="6" t="s">
        <v>23</v>
      </c>
      <c r="G20" s="7" t="n">
        <v>16</v>
      </c>
      <c r="H20" s="8" t="n">
        <f aca="false">G20*assumptions!$B$3</f>
        <v>3200</v>
      </c>
      <c r="I20" s="9" t="n">
        <f aca="false">G20/(assumptions!$B$4*assumptions!$B$5)</f>
        <v>0.177777777777778</v>
      </c>
      <c r="J20" s="4" t="s">
        <v>71</v>
      </c>
    </row>
    <row r="21" customFormat="false" ht="15" hidden="false" customHeight="true" outlineLevel="0" collapsed="false">
      <c r="A21" s="4" t="s">
        <v>72</v>
      </c>
      <c r="B21" s="4" t="s">
        <v>73</v>
      </c>
      <c r="C21" s="5" t="s">
        <v>13</v>
      </c>
      <c r="D21" s="5"/>
      <c r="E21" s="6" t="s">
        <v>14</v>
      </c>
      <c r="F21" s="6" t="s">
        <v>15</v>
      </c>
      <c r="G21" s="7" t="n">
        <v>16</v>
      </c>
      <c r="H21" s="8" t="n">
        <f aca="false">G21*assumptions!$B$3</f>
        <v>3200</v>
      </c>
      <c r="I21" s="9" t="n">
        <f aca="false">G21/(assumptions!$B$4*assumptions!$B$5)</f>
        <v>0.177777777777778</v>
      </c>
      <c r="J21" s="4" t="s">
        <v>74</v>
      </c>
    </row>
    <row r="22" customFormat="false" ht="15" hidden="false" customHeight="true" outlineLevel="0" collapsed="false">
      <c r="A22" s="4" t="s">
        <v>75</v>
      </c>
      <c r="B22" s="4" t="s">
        <v>76</v>
      </c>
      <c r="C22" s="5" t="s">
        <v>13</v>
      </c>
      <c r="D22" s="5"/>
      <c r="E22" s="6" t="s">
        <v>19</v>
      </c>
      <c r="F22" s="6" t="s">
        <v>23</v>
      </c>
      <c r="G22" s="7" t="n">
        <v>16</v>
      </c>
      <c r="H22" s="8" t="n">
        <f aca="false">G22*assumptions!$B$3</f>
        <v>3200</v>
      </c>
      <c r="I22" s="9" t="n">
        <f aca="false">G22/(assumptions!$B$4*assumptions!$B$5)</f>
        <v>0.177777777777778</v>
      </c>
      <c r="J22" s="4" t="s">
        <v>77</v>
      </c>
    </row>
    <row r="23" customFormat="false" ht="15" hidden="false" customHeight="true" outlineLevel="0" collapsed="false">
      <c r="A23" s="4" t="s">
        <v>78</v>
      </c>
      <c r="B23" s="4" t="s">
        <v>79</v>
      </c>
      <c r="C23" s="5" t="s">
        <v>13</v>
      </c>
      <c r="D23" s="5"/>
      <c r="E23" s="6" t="s">
        <v>14</v>
      </c>
      <c r="F23" s="6" t="s">
        <v>15</v>
      </c>
      <c r="G23" s="7" t="n">
        <v>16</v>
      </c>
      <c r="H23" s="8" t="n">
        <f aca="false">G23*assumptions!$B$3</f>
        <v>3200</v>
      </c>
      <c r="I23" s="9" t="n">
        <f aca="false">G23/(assumptions!$B$4*assumptions!$B$5)</f>
        <v>0.177777777777778</v>
      </c>
      <c r="J23" s="4" t="s">
        <v>80</v>
      </c>
    </row>
    <row r="24" customFormat="false" ht="15" hidden="false" customHeight="true" outlineLevel="0" collapsed="false">
      <c r="A24" s="4" t="s">
        <v>81</v>
      </c>
      <c r="B24" s="4" t="s">
        <v>82</v>
      </c>
      <c r="C24" s="5" t="s">
        <v>13</v>
      </c>
      <c r="D24" s="5"/>
      <c r="E24" s="6" t="s">
        <v>14</v>
      </c>
      <c r="F24" s="6" t="s">
        <v>15</v>
      </c>
      <c r="G24" s="7" t="n">
        <v>16</v>
      </c>
      <c r="H24" s="8" t="n">
        <f aca="false">G24*assumptions!$B$3</f>
        <v>3200</v>
      </c>
      <c r="I24" s="9" t="n">
        <f aca="false">G24/(assumptions!$B$4*assumptions!$B$5)</f>
        <v>0.177777777777778</v>
      </c>
      <c r="J24" s="4" t="s">
        <v>83</v>
      </c>
    </row>
    <row r="25" customFormat="false" ht="15" hidden="false" customHeight="true" outlineLevel="0" collapsed="false">
      <c r="A25" s="10" t="s">
        <v>84</v>
      </c>
      <c r="B25" s="10" t="s">
        <v>85</v>
      </c>
      <c r="C25" s="11" t="s">
        <v>13</v>
      </c>
      <c r="D25" s="12" t="s">
        <v>61</v>
      </c>
      <c r="E25" s="6" t="s">
        <v>14</v>
      </c>
      <c r="F25" s="6" t="s">
        <v>15</v>
      </c>
      <c r="G25" s="7" t="n">
        <v>32</v>
      </c>
      <c r="H25" s="13" t="n">
        <f aca="false">G25*assumptions!$B$3</f>
        <v>6400</v>
      </c>
      <c r="I25" s="14" t="n">
        <f aca="false">G25/(assumptions!$B$4*assumptions!$B$5)</f>
        <v>0.355555555555556</v>
      </c>
      <c r="J25" s="10" t="s">
        <v>86</v>
      </c>
    </row>
    <row r="26" customFormat="false" ht="15" hidden="false" customHeight="true" outlineLevel="0" collapsed="false">
      <c r="A26" s="10" t="s">
        <v>87</v>
      </c>
      <c r="B26" s="10" t="s">
        <v>88</v>
      </c>
      <c r="C26" s="11" t="s">
        <v>13</v>
      </c>
      <c r="D26" s="12" t="s">
        <v>61</v>
      </c>
      <c r="E26" s="6" t="s">
        <v>19</v>
      </c>
      <c r="F26" s="6" t="s">
        <v>23</v>
      </c>
      <c r="G26" s="7" t="n">
        <v>24</v>
      </c>
      <c r="H26" s="13" t="n">
        <f aca="false">G26*assumptions!$B$3</f>
        <v>4800</v>
      </c>
      <c r="I26" s="14" t="n">
        <f aca="false">G26/(assumptions!$B$4*assumptions!$B$5)</f>
        <v>0.266666666666667</v>
      </c>
      <c r="J26" s="10" t="s">
        <v>89</v>
      </c>
    </row>
    <row r="27" customFormat="false" ht="15" hidden="false" customHeight="true" outlineLevel="0" collapsed="false">
      <c r="A27" s="4" t="s">
        <v>90</v>
      </c>
      <c r="B27" s="4" t="s">
        <v>91</v>
      </c>
      <c r="C27" s="5" t="s">
        <v>13</v>
      </c>
      <c r="D27" s="5"/>
      <c r="E27" s="6" t="s">
        <v>14</v>
      </c>
      <c r="F27" s="6" t="s">
        <v>15</v>
      </c>
      <c r="G27" s="7" t="n">
        <v>16</v>
      </c>
      <c r="H27" s="8" t="n">
        <f aca="false">G27*assumptions!$B$3</f>
        <v>3200</v>
      </c>
      <c r="I27" s="9" t="n">
        <f aca="false">G27/(assumptions!$B$4*assumptions!$B$5)</f>
        <v>0.177777777777778</v>
      </c>
      <c r="J27" s="4" t="s">
        <v>92</v>
      </c>
    </row>
    <row r="28" customFormat="false" ht="15" hidden="false" customHeight="true" outlineLevel="0" collapsed="false">
      <c r="A28" s="4" t="s">
        <v>93</v>
      </c>
      <c r="B28" s="4" t="s">
        <v>94</v>
      </c>
      <c r="C28" s="5" t="s">
        <v>13</v>
      </c>
      <c r="D28" s="5"/>
      <c r="E28" s="6" t="s">
        <v>19</v>
      </c>
      <c r="F28" s="6" t="s">
        <v>23</v>
      </c>
      <c r="G28" s="7" t="n">
        <v>16</v>
      </c>
      <c r="H28" s="8" t="n">
        <f aca="false">G28*assumptions!$B$3</f>
        <v>3200</v>
      </c>
      <c r="I28" s="9" t="n">
        <f aca="false">G28/(assumptions!$B$4*assumptions!$B$5)</f>
        <v>0.177777777777778</v>
      </c>
      <c r="J28" s="4" t="s">
        <v>95</v>
      </c>
    </row>
    <row r="29" customFormat="false" ht="15" hidden="false" customHeight="true" outlineLevel="0" collapsed="false">
      <c r="A29" s="4" t="s">
        <v>96</v>
      </c>
      <c r="B29" s="4" t="s">
        <v>97</v>
      </c>
      <c r="C29" s="5" t="s">
        <v>13</v>
      </c>
      <c r="D29" s="5"/>
      <c r="E29" s="6" t="s">
        <v>19</v>
      </c>
      <c r="F29" s="6" t="s">
        <v>23</v>
      </c>
      <c r="G29" s="7" t="n">
        <v>8</v>
      </c>
      <c r="H29" s="8" t="n">
        <f aca="false">G29*assumptions!$B$3</f>
        <v>1600</v>
      </c>
      <c r="I29" s="9" t="n">
        <f aca="false">G29/(assumptions!$B$4*assumptions!$B$5)</f>
        <v>0.0888888888888889</v>
      </c>
      <c r="J29" s="4" t="s">
        <v>98</v>
      </c>
    </row>
    <row r="30" customFormat="false" ht="15" hidden="false" customHeight="true" outlineLevel="0" collapsed="false">
      <c r="A30" s="4" t="s">
        <v>99</v>
      </c>
      <c r="B30" s="4" t="s">
        <v>100</v>
      </c>
      <c r="C30" s="5" t="s">
        <v>13</v>
      </c>
      <c r="D30" s="5"/>
      <c r="E30" s="6" t="s">
        <v>19</v>
      </c>
      <c r="F30" s="6" t="s">
        <v>15</v>
      </c>
      <c r="G30" s="7" t="n">
        <v>16</v>
      </c>
      <c r="H30" s="8" t="n">
        <f aca="false">G30*assumptions!$B$3</f>
        <v>3200</v>
      </c>
      <c r="I30" s="9" t="n">
        <f aca="false">G30/(assumptions!$B$4*assumptions!$B$5)</f>
        <v>0.177777777777778</v>
      </c>
      <c r="J30" s="4" t="s">
        <v>101</v>
      </c>
    </row>
    <row r="31" customFormat="false" ht="15" hidden="false" customHeight="true" outlineLevel="0" collapsed="false">
      <c r="A31" s="4" t="s">
        <v>102</v>
      </c>
      <c r="B31" s="4" t="s">
        <v>103</v>
      </c>
      <c r="C31" s="5" t="s">
        <v>13</v>
      </c>
      <c r="D31" s="5"/>
      <c r="E31" s="6" t="s">
        <v>19</v>
      </c>
      <c r="F31" s="6" t="s">
        <v>23</v>
      </c>
      <c r="G31" s="7" t="n">
        <v>16</v>
      </c>
      <c r="H31" s="8" t="n">
        <f aca="false">G31*assumptions!$B$3</f>
        <v>3200</v>
      </c>
      <c r="I31" s="9" t="n">
        <f aca="false">G31/(assumptions!$B$4*assumptions!$B$5)</f>
        <v>0.177777777777778</v>
      </c>
      <c r="J31" s="4" t="s">
        <v>104</v>
      </c>
    </row>
    <row r="32" customFormat="false" ht="15" hidden="false" customHeight="true" outlineLevel="0" collapsed="false">
      <c r="A32" s="4" t="s">
        <v>105</v>
      </c>
      <c r="B32" s="4" t="s">
        <v>106</v>
      </c>
      <c r="C32" s="5" t="s">
        <v>13</v>
      </c>
      <c r="D32" s="5"/>
      <c r="E32" s="6" t="s">
        <v>48</v>
      </c>
      <c r="F32" s="6" t="s">
        <v>23</v>
      </c>
      <c r="G32" s="7" t="n">
        <v>24</v>
      </c>
      <c r="H32" s="8" t="n">
        <f aca="false">G32*assumptions!$B$3</f>
        <v>4800</v>
      </c>
      <c r="I32" s="9" t="n">
        <f aca="false">G32/(assumptions!$B$4*assumptions!$B$5)</f>
        <v>0.266666666666667</v>
      </c>
      <c r="J32" s="4" t="s">
        <v>107</v>
      </c>
    </row>
    <row r="33" customFormat="false" ht="15" hidden="false" customHeight="true" outlineLevel="0" collapsed="false">
      <c r="A33" s="4" t="s">
        <v>108</v>
      </c>
      <c r="B33" s="4" t="s">
        <v>109</v>
      </c>
      <c r="C33" s="5" t="s">
        <v>13</v>
      </c>
      <c r="D33" s="5"/>
      <c r="E33" s="6" t="s">
        <v>48</v>
      </c>
      <c r="F33" s="6" t="s">
        <v>23</v>
      </c>
      <c r="G33" s="7" t="n">
        <v>16</v>
      </c>
      <c r="H33" s="8" t="n">
        <f aca="false">G33*assumptions!$B$3</f>
        <v>3200</v>
      </c>
      <c r="I33" s="9" t="n">
        <f aca="false">G33/(assumptions!$B$4*assumptions!$B$5)</f>
        <v>0.177777777777778</v>
      </c>
      <c r="J33" s="4" t="s">
        <v>110</v>
      </c>
    </row>
    <row r="34" customFormat="false" ht="15" hidden="false" customHeight="true" outlineLevel="0" collapsed="false">
      <c r="A34" s="4" t="s">
        <v>111</v>
      </c>
      <c r="B34" s="4" t="s">
        <v>112</v>
      </c>
      <c r="C34" s="5" t="s">
        <v>13</v>
      </c>
      <c r="D34" s="5"/>
      <c r="E34" s="6" t="s">
        <v>48</v>
      </c>
      <c r="F34" s="6" t="s">
        <v>23</v>
      </c>
      <c r="G34" s="7" t="n">
        <v>8</v>
      </c>
      <c r="H34" s="8" t="n">
        <f aca="false">G34*assumptions!$B$3</f>
        <v>1600</v>
      </c>
      <c r="I34" s="9" t="n">
        <f aca="false">G34/(assumptions!$B$4*assumptions!$B$5)</f>
        <v>0.0888888888888889</v>
      </c>
      <c r="J34" s="4" t="s">
        <v>113</v>
      </c>
    </row>
    <row r="35" customFormat="false" ht="15" hidden="false" customHeight="true" outlineLevel="0" collapsed="false">
      <c r="A35" s="4" t="s">
        <v>114</v>
      </c>
      <c r="B35" s="4" t="s">
        <v>115</v>
      </c>
      <c r="C35" s="5" t="s">
        <v>13</v>
      </c>
      <c r="D35" s="5"/>
      <c r="E35" s="6" t="s">
        <v>48</v>
      </c>
      <c r="F35" s="6" t="s">
        <v>23</v>
      </c>
      <c r="G35" s="7" t="n">
        <v>16</v>
      </c>
      <c r="H35" s="8" t="n">
        <f aca="false">G35*assumptions!$B$3</f>
        <v>3200</v>
      </c>
      <c r="I35" s="9" t="n">
        <f aca="false">G35/(assumptions!$B$4*assumptions!$B$5)</f>
        <v>0.177777777777778</v>
      </c>
      <c r="J35" s="4" t="s">
        <v>116</v>
      </c>
    </row>
    <row r="36" customFormat="false" ht="15" hidden="false" customHeight="true" outlineLevel="0" collapsed="false">
      <c r="A36" s="10" t="s">
        <v>117</v>
      </c>
      <c r="B36" s="10" t="s">
        <v>118</v>
      </c>
      <c r="C36" s="11" t="s">
        <v>13</v>
      </c>
      <c r="D36" s="12" t="s">
        <v>61</v>
      </c>
      <c r="E36" s="6" t="s">
        <v>19</v>
      </c>
      <c r="F36" s="6" t="s">
        <v>23</v>
      </c>
      <c r="G36" s="7" t="n">
        <v>32</v>
      </c>
      <c r="H36" s="13" t="n">
        <f aca="false">G36*assumptions!$B$3</f>
        <v>6400</v>
      </c>
      <c r="I36" s="14" t="n">
        <f aca="false">G36/(assumptions!$B$4*assumptions!$B$5)</f>
        <v>0.355555555555556</v>
      </c>
      <c r="J36" s="10" t="s">
        <v>119</v>
      </c>
    </row>
    <row r="37" customFormat="false" ht="15" hidden="false" customHeight="true" outlineLevel="0" collapsed="false">
      <c r="A37" s="4" t="s">
        <v>120</v>
      </c>
      <c r="B37" s="4" t="s">
        <v>121</v>
      </c>
      <c r="C37" s="5" t="s">
        <v>13</v>
      </c>
      <c r="D37" s="5"/>
      <c r="E37" s="6" t="s">
        <v>14</v>
      </c>
      <c r="F37" s="6" t="s">
        <v>15</v>
      </c>
      <c r="G37" s="7" t="n">
        <v>0</v>
      </c>
      <c r="H37" s="8" t="n">
        <f aca="false">G37*assumptions!$B$3</f>
        <v>0</v>
      </c>
      <c r="I37" s="9" t="n">
        <f aca="false">G37/(assumptions!$B$4*assumptions!$B$5)</f>
        <v>0</v>
      </c>
      <c r="J37" s="4" t="s">
        <v>122</v>
      </c>
    </row>
    <row r="38" customFormat="false" ht="15" hidden="false" customHeight="true" outlineLevel="0" collapsed="false">
      <c r="A38" s="4" t="s">
        <v>123</v>
      </c>
      <c r="B38" s="4" t="s">
        <v>124</v>
      </c>
      <c r="C38" s="5" t="s">
        <v>13</v>
      </c>
      <c r="D38" s="5"/>
      <c r="E38" s="6" t="s">
        <v>14</v>
      </c>
      <c r="F38" s="6" t="s">
        <v>15</v>
      </c>
      <c r="G38" s="7" t="n">
        <v>16</v>
      </c>
      <c r="H38" s="8" t="n">
        <f aca="false">G38*assumptions!$B$3</f>
        <v>3200</v>
      </c>
      <c r="I38" s="9" t="n">
        <f aca="false">G38/(assumptions!$B$4*assumptions!$B$5)</f>
        <v>0.177777777777778</v>
      </c>
      <c r="J38" s="4" t="s">
        <v>125</v>
      </c>
    </row>
    <row r="39" customFormat="false" ht="15" hidden="false" customHeight="true" outlineLevel="0" collapsed="false">
      <c r="A39" s="4" t="s">
        <v>126</v>
      </c>
      <c r="B39" s="4" t="s">
        <v>127</v>
      </c>
      <c r="C39" s="5" t="s">
        <v>13</v>
      </c>
      <c r="D39" s="5"/>
      <c r="E39" s="6" t="s">
        <v>19</v>
      </c>
      <c r="F39" s="6" t="s">
        <v>23</v>
      </c>
      <c r="G39" s="7" t="n">
        <v>32</v>
      </c>
      <c r="H39" s="8" t="n">
        <f aca="false">G39*assumptions!$B$3</f>
        <v>6400</v>
      </c>
      <c r="I39" s="9" t="n">
        <f aca="false">G39/(assumptions!$B$4*assumptions!$B$5)</f>
        <v>0.355555555555556</v>
      </c>
      <c r="J39" s="4" t="s">
        <v>128</v>
      </c>
    </row>
    <row r="40" customFormat="false" ht="15" hidden="false" customHeight="true" outlineLevel="0" collapsed="false">
      <c r="A40" s="4" t="s">
        <v>129</v>
      </c>
      <c r="B40" s="4" t="s">
        <v>130</v>
      </c>
      <c r="C40" s="5" t="s">
        <v>131</v>
      </c>
      <c r="D40" s="5"/>
      <c r="E40" s="6" t="s">
        <v>48</v>
      </c>
      <c r="F40" s="6" t="s">
        <v>23</v>
      </c>
      <c r="G40" s="7" t="n">
        <v>8</v>
      </c>
      <c r="H40" s="8" t="n">
        <f aca="false">G40*assumptions!$B$3</f>
        <v>1600</v>
      </c>
      <c r="I40" s="9" t="n">
        <f aca="false">G40/(assumptions!$B$4*assumptions!$B$5)</f>
        <v>0.0888888888888889</v>
      </c>
      <c r="J40" s="4" t="s">
        <v>132</v>
      </c>
    </row>
    <row r="41" customFormat="false" ht="15" hidden="false" customHeight="true" outlineLevel="0" collapsed="false">
      <c r="A41" s="4" t="s">
        <v>133</v>
      </c>
      <c r="B41" s="4" t="s">
        <v>134</v>
      </c>
      <c r="C41" s="5" t="s">
        <v>131</v>
      </c>
      <c r="D41" s="5"/>
      <c r="E41" s="6" t="s">
        <v>48</v>
      </c>
      <c r="F41" s="6" t="s">
        <v>23</v>
      </c>
      <c r="G41" s="7" t="n">
        <v>8</v>
      </c>
      <c r="H41" s="8" t="n">
        <f aca="false">G41*assumptions!$B$3</f>
        <v>1600</v>
      </c>
      <c r="I41" s="9" t="n">
        <f aca="false">G41/(assumptions!$B$4*assumptions!$B$5)</f>
        <v>0.0888888888888889</v>
      </c>
      <c r="J41" s="4" t="s">
        <v>135</v>
      </c>
    </row>
    <row r="42" customFormat="false" ht="15" hidden="false" customHeight="true" outlineLevel="0" collapsed="false">
      <c r="A42" s="4" t="s">
        <v>136</v>
      </c>
      <c r="B42" s="4" t="s">
        <v>137</v>
      </c>
      <c r="C42" s="5" t="s">
        <v>131</v>
      </c>
      <c r="D42" s="5"/>
      <c r="E42" s="6" t="s">
        <v>19</v>
      </c>
      <c r="F42" s="6" t="s">
        <v>15</v>
      </c>
      <c r="G42" s="7" t="n">
        <v>24</v>
      </c>
      <c r="H42" s="8" t="n">
        <f aca="false">G42*assumptions!$B$3</f>
        <v>4800</v>
      </c>
      <c r="I42" s="9" t="n">
        <f aca="false">G42/(assumptions!$B$4*assumptions!$B$5)</f>
        <v>0.266666666666667</v>
      </c>
      <c r="J42" s="4" t="s">
        <v>138</v>
      </c>
    </row>
    <row r="43" customFormat="false" ht="15" hidden="false" customHeight="true" outlineLevel="0" collapsed="false">
      <c r="A43" s="4" t="s">
        <v>139</v>
      </c>
      <c r="B43" s="4" t="s">
        <v>140</v>
      </c>
      <c r="C43" s="5" t="s">
        <v>131</v>
      </c>
      <c r="D43" s="5"/>
      <c r="E43" s="6" t="s">
        <v>19</v>
      </c>
      <c r="F43" s="6" t="s">
        <v>23</v>
      </c>
      <c r="G43" s="7" t="n">
        <v>8</v>
      </c>
      <c r="H43" s="8" t="n">
        <f aca="false">G43*assumptions!$B$3</f>
        <v>1600</v>
      </c>
      <c r="I43" s="9" t="n">
        <f aca="false">G43/(assumptions!$B$4*assumptions!$B$5)</f>
        <v>0.0888888888888889</v>
      </c>
      <c r="J43" s="4" t="s">
        <v>141</v>
      </c>
    </row>
    <row r="44" customFormat="false" ht="15" hidden="false" customHeight="true" outlineLevel="0" collapsed="false">
      <c r="A44" s="10" t="s">
        <v>142</v>
      </c>
      <c r="B44" s="10" t="s">
        <v>143</v>
      </c>
      <c r="C44" s="11" t="s">
        <v>131</v>
      </c>
      <c r="D44" s="12" t="s">
        <v>61</v>
      </c>
      <c r="E44" s="6" t="s">
        <v>19</v>
      </c>
      <c r="F44" s="6" t="s">
        <v>15</v>
      </c>
      <c r="G44" s="7" t="n">
        <v>16</v>
      </c>
      <c r="H44" s="13" t="n">
        <f aca="false">G44*assumptions!$B$3</f>
        <v>3200</v>
      </c>
      <c r="I44" s="14" t="n">
        <f aca="false">G44/(assumptions!$B$4*assumptions!$B$5)</f>
        <v>0.177777777777778</v>
      </c>
      <c r="J44" s="10" t="s">
        <v>144</v>
      </c>
    </row>
    <row r="45" customFormat="false" ht="15" hidden="false" customHeight="true" outlineLevel="0" collapsed="false">
      <c r="A45" s="4" t="s">
        <v>145</v>
      </c>
      <c r="B45" s="4" t="s">
        <v>146</v>
      </c>
      <c r="C45" s="5" t="s">
        <v>131</v>
      </c>
      <c r="D45" s="5"/>
      <c r="E45" s="6" t="s">
        <v>48</v>
      </c>
      <c r="F45" s="6" t="s">
        <v>147</v>
      </c>
      <c r="G45" s="7" t="n">
        <v>0</v>
      </c>
      <c r="H45" s="8" t="n">
        <f aca="false">G45*assumptions!$B$3</f>
        <v>0</v>
      </c>
      <c r="I45" s="9" t="n">
        <f aca="false">G45/(assumptions!$B$4*assumptions!$B$5)</f>
        <v>0</v>
      </c>
      <c r="J45" s="4" t="s">
        <v>148</v>
      </c>
    </row>
    <row r="46" customFormat="false" ht="15" hidden="false" customHeight="true" outlineLevel="0" collapsed="false">
      <c r="A46" s="4" t="s">
        <v>149</v>
      </c>
      <c r="B46" s="4" t="s">
        <v>150</v>
      </c>
      <c r="C46" s="5" t="s">
        <v>131</v>
      </c>
      <c r="D46" s="5"/>
      <c r="E46" s="6" t="s">
        <v>19</v>
      </c>
      <c r="F46" s="6" t="s">
        <v>23</v>
      </c>
      <c r="G46" s="7" t="n">
        <v>16</v>
      </c>
      <c r="H46" s="8" t="n">
        <f aca="false">G46*assumptions!$B$3</f>
        <v>3200</v>
      </c>
      <c r="I46" s="9" t="n">
        <f aca="false">G46/(assumptions!$B$4*assumptions!$B$5)</f>
        <v>0.177777777777778</v>
      </c>
      <c r="J46" s="4" t="s">
        <v>151</v>
      </c>
    </row>
    <row r="47" customFormat="false" ht="15" hidden="false" customHeight="true" outlineLevel="0" collapsed="false">
      <c r="A47" s="4" t="s">
        <v>152</v>
      </c>
      <c r="B47" s="4" t="s">
        <v>153</v>
      </c>
      <c r="C47" s="5" t="s">
        <v>131</v>
      </c>
      <c r="D47" s="5"/>
      <c r="E47" s="6" t="s">
        <v>19</v>
      </c>
      <c r="F47" s="6" t="s">
        <v>23</v>
      </c>
      <c r="G47" s="7" t="n">
        <v>8</v>
      </c>
      <c r="H47" s="8" t="n">
        <f aca="false">G47*assumptions!$B$3</f>
        <v>1600</v>
      </c>
      <c r="I47" s="9" t="n">
        <f aca="false">G47/(assumptions!$B$4*assumptions!$B$5)</f>
        <v>0.0888888888888889</v>
      </c>
      <c r="J47" s="4" t="s">
        <v>154</v>
      </c>
    </row>
    <row r="48" customFormat="false" ht="15" hidden="false" customHeight="true" outlineLevel="0" collapsed="false">
      <c r="A48" s="4" t="s">
        <v>155</v>
      </c>
      <c r="B48" s="4" t="s">
        <v>156</v>
      </c>
      <c r="C48" s="5" t="s">
        <v>157</v>
      </c>
      <c r="D48" s="5"/>
      <c r="E48" s="6" t="s">
        <v>48</v>
      </c>
      <c r="F48" s="6" t="s">
        <v>23</v>
      </c>
      <c r="G48" s="7" t="n">
        <v>8</v>
      </c>
      <c r="H48" s="8" t="n">
        <f aca="false">G48*assumptions!$B$3</f>
        <v>1600</v>
      </c>
      <c r="I48" s="9" t="n">
        <f aca="false">G48/(assumptions!$B$4*assumptions!$B$5)</f>
        <v>0.0888888888888889</v>
      </c>
      <c r="J48" s="4" t="s">
        <v>158</v>
      </c>
    </row>
    <row r="49" customFormat="false" ht="15" hidden="false" customHeight="true" outlineLevel="0" collapsed="false">
      <c r="A49" s="4" t="s">
        <v>159</v>
      </c>
      <c r="B49" s="4" t="s">
        <v>160</v>
      </c>
      <c r="C49" s="5" t="s">
        <v>157</v>
      </c>
      <c r="D49" s="5"/>
      <c r="E49" s="6" t="s">
        <v>48</v>
      </c>
      <c r="F49" s="6" t="s">
        <v>23</v>
      </c>
      <c r="G49" s="7" t="n">
        <v>8</v>
      </c>
      <c r="H49" s="8" t="n">
        <f aca="false">G49*assumptions!$B$3</f>
        <v>1600</v>
      </c>
      <c r="I49" s="9" t="n">
        <f aca="false">G49/(assumptions!$B$4*assumptions!$B$5)</f>
        <v>0.0888888888888889</v>
      </c>
      <c r="J49" s="4" t="s">
        <v>161</v>
      </c>
    </row>
    <row r="50" customFormat="false" ht="15" hidden="false" customHeight="true" outlineLevel="0" collapsed="false">
      <c r="A50" s="4" t="s">
        <v>162</v>
      </c>
      <c r="B50" s="4" t="s">
        <v>163</v>
      </c>
      <c r="C50" s="5" t="s">
        <v>157</v>
      </c>
      <c r="D50" s="5"/>
      <c r="E50" s="6" t="s">
        <v>48</v>
      </c>
      <c r="F50" s="6" t="s">
        <v>23</v>
      </c>
      <c r="G50" s="7" t="n">
        <v>8</v>
      </c>
      <c r="H50" s="8" t="n">
        <f aca="false">G50*assumptions!$B$3</f>
        <v>1600</v>
      </c>
      <c r="I50" s="9" t="n">
        <f aca="false">G50/(assumptions!$B$4*assumptions!$B$5)</f>
        <v>0.0888888888888889</v>
      </c>
      <c r="J50" s="4" t="s">
        <v>164</v>
      </c>
    </row>
    <row r="51" customFormat="false" ht="15" hidden="false" customHeight="true" outlineLevel="0" collapsed="false">
      <c r="A51" s="4" t="s">
        <v>165</v>
      </c>
      <c r="B51" s="4" t="s">
        <v>166</v>
      </c>
      <c r="C51" s="5" t="s">
        <v>157</v>
      </c>
      <c r="D51" s="5"/>
      <c r="E51" s="6" t="s">
        <v>19</v>
      </c>
      <c r="F51" s="6" t="s">
        <v>23</v>
      </c>
      <c r="G51" s="7" t="n">
        <v>8</v>
      </c>
      <c r="H51" s="8" t="n">
        <f aca="false">G51*assumptions!$B$3</f>
        <v>1600</v>
      </c>
      <c r="I51" s="9" t="n">
        <f aca="false">G51/(assumptions!$B$4*assumptions!$B$5)</f>
        <v>0.0888888888888889</v>
      </c>
      <c r="J51" s="4" t="s">
        <v>167</v>
      </c>
    </row>
    <row r="52" customFormat="false" ht="15" hidden="false" customHeight="true" outlineLevel="0" collapsed="false">
      <c r="A52" s="4" t="s">
        <v>168</v>
      </c>
      <c r="B52" s="4" t="s">
        <v>169</v>
      </c>
      <c r="C52" s="5" t="s">
        <v>157</v>
      </c>
      <c r="D52" s="5"/>
      <c r="E52" s="6" t="s">
        <v>48</v>
      </c>
      <c r="F52" s="6" t="s">
        <v>23</v>
      </c>
      <c r="G52" s="7" t="n">
        <v>8</v>
      </c>
      <c r="H52" s="8" t="n">
        <f aca="false">G52*assumptions!$B$3</f>
        <v>1600</v>
      </c>
      <c r="I52" s="9" t="n">
        <f aca="false">G52/(assumptions!$B$4*assumptions!$B$5)</f>
        <v>0.0888888888888889</v>
      </c>
      <c r="J52" s="4" t="s">
        <v>170</v>
      </c>
    </row>
    <row r="53" customFormat="false" ht="15" hidden="false" customHeight="true" outlineLevel="0" collapsed="false">
      <c r="A53" s="4" t="s">
        <v>171</v>
      </c>
      <c r="B53" s="4" t="s">
        <v>172</v>
      </c>
      <c r="C53" s="5" t="s">
        <v>157</v>
      </c>
      <c r="D53" s="5"/>
      <c r="E53" s="6" t="s">
        <v>48</v>
      </c>
      <c r="F53" s="6" t="s">
        <v>23</v>
      </c>
      <c r="G53" s="7" t="n">
        <v>4</v>
      </c>
      <c r="H53" s="8" t="n">
        <f aca="false">G53*assumptions!$B$3</f>
        <v>800</v>
      </c>
      <c r="I53" s="9" t="n">
        <f aca="false">G53/(assumptions!$B$4*assumptions!$B$5)</f>
        <v>0.0444444444444444</v>
      </c>
      <c r="J53" s="4" t="s">
        <v>173</v>
      </c>
    </row>
    <row r="54" customFormat="false" ht="15" hidden="false" customHeight="true" outlineLevel="0" collapsed="false">
      <c r="A54" s="4" t="s">
        <v>174</v>
      </c>
      <c r="B54" s="4" t="s">
        <v>175</v>
      </c>
      <c r="C54" s="5" t="s">
        <v>157</v>
      </c>
      <c r="D54" s="5"/>
      <c r="E54" s="6" t="s">
        <v>19</v>
      </c>
      <c r="F54" s="6" t="s">
        <v>23</v>
      </c>
      <c r="G54" s="7" t="n">
        <v>4</v>
      </c>
      <c r="H54" s="8" t="n">
        <f aca="false">G54*assumptions!$B$3</f>
        <v>800</v>
      </c>
      <c r="I54" s="9" t="n">
        <f aca="false">G54/(assumptions!$B$4*assumptions!$B$5)</f>
        <v>0.0444444444444444</v>
      </c>
      <c r="J54" s="4" t="s">
        <v>176</v>
      </c>
    </row>
    <row r="55" customFormat="false" ht="15" hidden="false" customHeight="true" outlineLevel="0" collapsed="false">
      <c r="A55" s="4" t="s">
        <v>177</v>
      </c>
      <c r="B55" s="4" t="s">
        <v>178</v>
      </c>
      <c r="C55" s="5" t="s">
        <v>157</v>
      </c>
      <c r="D55" s="5"/>
      <c r="E55" s="6" t="s">
        <v>48</v>
      </c>
      <c r="F55" s="6" t="s">
        <v>23</v>
      </c>
      <c r="G55" s="7" t="n">
        <v>4</v>
      </c>
      <c r="H55" s="8" t="n">
        <f aca="false">G55*assumptions!$B$3</f>
        <v>800</v>
      </c>
      <c r="I55" s="9" t="n">
        <f aca="false">G55/(assumptions!$B$4*assumptions!$B$5)</f>
        <v>0.0444444444444444</v>
      </c>
      <c r="J55" s="4" t="s">
        <v>179</v>
      </c>
    </row>
    <row r="56" customFormat="false" ht="15" hidden="false" customHeight="true" outlineLevel="0" collapsed="false">
      <c r="A56" s="4" t="s">
        <v>180</v>
      </c>
      <c r="B56" s="4" t="s">
        <v>181</v>
      </c>
      <c r="C56" s="5" t="s">
        <v>157</v>
      </c>
      <c r="D56" s="5"/>
      <c r="E56" s="6" t="s">
        <v>19</v>
      </c>
      <c r="F56" s="6" t="s">
        <v>23</v>
      </c>
      <c r="G56" s="7" t="n">
        <v>8</v>
      </c>
      <c r="H56" s="8" t="n">
        <f aca="false">G56*assumptions!$B$3</f>
        <v>1600</v>
      </c>
      <c r="I56" s="9" t="n">
        <f aca="false">G56/(assumptions!$B$4*assumptions!$B$5)</f>
        <v>0.0888888888888889</v>
      </c>
      <c r="J56" s="4" t="s">
        <v>182</v>
      </c>
    </row>
    <row r="57" customFormat="false" ht="15" hidden="false" customHeight="true" outlineLevel="0" collapsed="false">
      <c r="A57" s="4" t="s">
        <v>183</v>
      </c>
      <c r="B57" s="4" t="s">
        <v>184</v>
      </c>
      <c r="C57" s="5" t="s">
        <v>157</v>
      </c>
      <c r="D57" s="5"/>
      <c r="E57" s="6" t="s">
        <v>19</v>
      </c>
      <c r="F57" s="6" t="s">
        <v>23</v>
      </c>
      <c r="G57" s="7" t="n">
        <v>8</v>
      </c>
      <c r="H57" s="8" t="n">
        <f aca="false">G57*assumptions!$B$3</f>
        <v>1600</v>
      </c>
      <c r="I57" s="9" t="n">
        <f aca="false">G57/(assumptions!$B$4*assumptions!$B$5)</f>
        <v>0.0888888888888889</v>
      </c>
      <c r="J57" s="4" t="s">
        <v>185</v>
      </c>
    </row>
    <row r="58" customFormat="false" ht="15" hidden="false" customHeight="true" outlineLevel="0" collapsed="false">
      <c r="A58" s="4" t="s">
        <v>186</v>
      </c>
      <c r="B58" s="4" t="s">
        <v>187</v>
      </c>
      <c r="C58" s="5" t="s">
        <v>157</v>
      </c>
      <c r="D58" s="5"/>
      <c r="E58" s="6" t="s">
        <v>48</v>
      </c>
      <c r="F58" s="6" t="s">
        <v>23</v>
      </c>
      <c r="G58" s="7" t="n">
        <v>4</v>
      </c>
      <c r="H58" s="8" t="n">
        <f aca="false">G58*assumptions!$B$3</f>
        <v>800</v>
      </c>
      <c r="I58" s="9" t="n">
        <f aca="false">G58/(assumptions!$B$4*assumptions!$B$5)</f>
        <v>0.0444444444444444</v>
      </c>
      <c r="J58" s="4" t="s">
        <v>188</v>
      </c>
    </row>
    <row r="59" customFormat="false" ht="15" hidden="false" customHeight="true" outlineLevel="0" collapsed="false">
      <c r="A59" s="4" t="s">
        <v>189</v>
      </c>
      <c r="B59" s="4" t="s">
        <v>190</v>
      </c>
      <c r="C59" s="5" t="s">
        <v>157</v>
      </c>
      <c r="D59" s="5"/>
      <c r="E59" s="6" t="s">
        <v>48</v>
      </c>
      <c r="F59" s="6" t="s">
        <v>23</v>
      </c>
      <c r="G59" s="7" t="n">
        <v>4</v>
      </c>
      <c r="H59" s="8" t="n">
        <f aca="false">G59*assumptions!$B$3</f>
        <v>800</v>
      </c>
      <c r="I59" s="9" t="n">
        <f aca="false">G59/(assumptions!$B$4*assumptions!$B$5)</f>
        <v>0.0444444444444444</v>
      </c>
      <c r="J59" s="4" t="s">
        <v>191</v>
      </c>
    </row>
    <row r="60" customFormat="false" ht="15" hidden="false" customHeight="true" outlineLevel="0" collapsed="false">
      <c r="A60" s="4" t="s">
        <v>192</v>
      </c>
      <c r="B60" s="4" t="s">
        <v>193</v>
      </c>
      <c r="C60" s="5" t="s">
        <v>157</v>
      </c>
      <c r="D60" s="5"/>
      <c r="E60" s="6" t="s">
        <v>48</v>
      </c>
      <c r="F60" s="6" t="s">
        <v>147</v>
      </c>
      <c r="G60" s="7" t="n">
        <v>0</v>
      </c>
      <c r="H60" s="8" t="n">
        <f aca="false">G60*assumptions!$B$3</f>
        <v>0</v>
      </c>
      <c r="I60" s="9" t="n">
        <f aca="false">G60/(assumptions!$B$4*assumptions!$B$5)</f>
        <v>0</v>
      </c>
      <c r="J60" s="4" t="s">
        <v>194</v>
      </c>
    </row>
    <row r="61" customFormat="false" ht="15" hidden="false" customHeight="true" outlineLevel="0" collapsed="false">
      <c r="A61" s="4" t="s">
        <v>195</v>
      </c>
      <c r="B61" s="4" t="s">
        <v>196</v>
      </c>
      <c r="C61" s="5" t="s">
        <v>157</v>
      </c>
      <c r="D61" s="5"/>
      <c r="E61" s="6" t="s">
        <v>19</v>
      </c>
      <c r="F61" s="6" t="s">
        <v>23</v>
      </c>
      <c r="G61" s="7" t="n">
        <v>8</v>
      </c>
      <c r="H61" s="8" t="n">
        <f aca="false">G61*assumptions!$B$3</f>
        <v>1600</v>
      </c>
      <c r="I61" s="9" t="n">
        <f aca="false">G61/(assumptions!$B$4*assumptions!$B$5)</f>
        <v>0.0888888888888889</v>
      </c>
      <c r="J61" s="4" t="s">
        <v>197</v>
      </c>
    </row>
    <row r="62" customFormat="false" ht="15" hidden="false" customHeight="true" outlineLevel="0" collapsed="false">
      <c r="A62" s="4" t="s">
        <v>198</v>
      </c>
      <c r="B62" s="4" t="s">
        <v>199</v>
      </c>
      <c r="C62" s="5" t="s">
        <v>200</v>
      </c>
      <c r="D62" s="5"/>
      <c r="E62" s="6" t="s">
        <v>19</v>
      </c>
      <c r="F62" s="6" t="s">
        <v>15</v>
      </c>
      <c r="G62" s="7" t="n">
        <v>40</v>
      </c>
      <c r="H62" s="8" t="n">
        <f aca="false">G62*assumptions!$B$3</f>
        <v>8000</v>
      </c>
      <c r="I62" s="9" t="n">
        <f aca="false">G62/(assumptions!$B$4*assumptions!$B$5)</f>
        <v>0.444444444444444</v>
      </c>
      <c r="J62" s="4" t="s">
        <v>201</v>
      </c>
    </row>
    <row r="63" customFormat="false" ht="15" hidden="false" customHeight="true" outlineLevel="0" collapsed="false">
      <c r="A63" s="10" t="s">
        <v>202</v>
      </c>
      <c r="B63" s="10" t="s">
        <v>203</v>
      </c>
      <c r="C63" s="11" t="s">
        <v>200</v>
      </c>
      <c r="D63" s="12" t="s">
        <v>61</v>
      </c>
      <c r="E63" s="6" t="s">
        <v>19</v>
      </c>
      <c r="F63" s="6" t="s">
        <v>15</v>
      </c>
      <c r="G63" s="7" t="n">
        <v>32</v>
      </c>
      <c r="H63" s="13" t="n">
        <f aca="false">G63*assumptions!$B$3</f>
        <v>6400</v>
      </c>
      <c r="I63" s="14" t="n">
        <f aca="false">G63/(assumptions!$B$4*assumptions!$B$5)</f>
        <v>0.355555555555556</v>
      </c>
      <c r="J63" s="10" t="s">
        <v>204</v>
      </c>
    </row>
    <row r="64" customFormat="false" ht="15" hidden="false" customHeight="true" outlineLevel="0" collapsed="false">
      <c r="A64" s="4" t="s">
        <v>205</v>
      </c>
      <c r="B64" s="4" t="s">
        <v>206</v>
      </c>
      <c r="C64" s="5" t="s">
        <v>200</v>
      </c>
      <c r="D64" s="5"/>
      <c r="E64" s="6" t="s">
        <v>19</v>
      </c>
      <c r="F64" s="6" t="s">
        <v>15</v>
      </c>
      <c r="G64" s="7" t="n">
        <v>24</v>
      </c>
      <c r="H64" s="8" t="n">
        <f aca="false">G64*assumptions!$B$3</f>
        <v>4800</v>
      </c>
      <c r="I64" s="9" t="n">
        <f aca="false">G64/(assumptions!$B$4*assumptions!$B$5)</f>
        <v>0.266666666666667</v>
      </c>
      <c r="J64" s="4" t="s">
        <v>207</v>
      </c>
    </row>
    <row r="65" customFormat="false" ht="15" hidden="false" customHeight="true" outlineLevel="0" collapsed="false">
      <c r="A65" s="4" t="s">
        <v>208</v>
      </c>
      <c r="B65" s="4" t="s">
        <v>209</v>
      </c>
      <c r="C65" s="5" t="s">
        <v>200</v>
      </c>
      <c r="D65" s="5"/>
      <c r="E65" s="6" t="s">
        <v>48</v>
      </c>
      <c r="F65" s="6" t="s">
        <v>23</v>
      </c>
      <c r="G65" s="7" t="n">
        <v>16</v>
      </c>
      <c r="H65" s="8" t="n">
        <f aca="false">G65*assumptions!$B$3</f>
        <v>3200</v>
      </c>
      <c r="I65" s="9" t="n">
        <f aca="false">G65/(assumptions!$B$4*assumptions!$B$5)</f>
        <v>0.177777777777778</v>
      </c>
      <c r="J65" s="4" t="s">
        <v>210</v>
      </c>
    </row>
    <row r="66" customFormat="false" ht="15" hidden="false" customHeight="true" outlineLevel="0" collapsed="false">
      <c r="A66" s="10" t="s">
        <v>211</v>
      </c>
      <c r="B66" s="10" t="s">
        <v>212</v>
      </c>
      <c r="C66" s="11" t="s">
        <v>200</v>
      </c>
      <c r="D66" s="12" t="s">
        <v>61</v>
      </c>
      <c r="E66" s="6" t="s">
        <v>19</v>
      </c>
      <c r="F66" s="6" t="s">
        <v>15</v>
      </c>
      <c r="G66" s="7" t="n">
        <v>32</v>
      </c>
      <c r="H66" s="13" t="n">
        <f aca="false">G66*assumptions!$B$3</f>
        <v>6400</v>
      </c>
      <c r="I66" s="14" t="n">
        <f aca="false">G66/(assumptions!$B$4*assumptions!$B$5)</f>
        <v>0.355555555555556</v>
      </c>
      <c r="J66" s="10" t="s">
        <v>213</v>
      </c>
    </row>
    <row r="67" customFormat="false" ht="15" hidden="false" customHeight="true" outlineLevel="0" collapsed="false">
      <c r="A67" s="4" t="s">
        <v>214</v>
      </c>
      <c r="B67" s="4" t="s">
        <v>215</v>
      </c>
      <c r="C67" s="5" t="s">
        <v>200</v>
      </c>
      <c r="D67" s="5"/>
      <c r="E67" s="6" t="s">
        <v>48</v>
      </c>
      <c r="F67" s="6" t="s">
        <v>23</v>
      </c>
      <c r="G67" s="7" t="n">
        <v>16</v>
      </c>
      <c r="H67" s="8" t="n">
        <f aca="false">G67*assumptions!$B$3</f>
        <v>3200</v>
      </c>
      <c r="I67" s="9" t="n">
        <f aca="false">G67/(assumptions!$B$4*assumptions!$B$5)</f>
        <v>0.177777777777778</v>
      </c>
      <c r="J67" s="4" t="s">
        <v>216</v>
      </c>
    </row>
    <row r="68" customFormat="false" ht="15" hidden="false" customHeight="true" outlineLevel="0" collapsed="false">
      <c r="A68" s="4" t="s">
        <v>217</v>
      </c>
      <c r="B68" s="4" t="s">
        <v>218</v>
      </c>
      <c r="C68" s="5" t="s">
        <v>200</v>
      </c>
      <c r="D68" s="5"/>
      <c r="E68" s="6" t="s">
        <v>19</v>
      </c>
      <c r="F68" s="6" t="s">
        <v>23</v>
      </c>
      <c r="G68" s="7" t="n">
        <v>16</v>
      </c>
      <c r="H68" s="8" t="n">
        <f aca="false">G68*assumptions!$B$3</f>
        <v>3200</v>
      </c>
      <c r="I68" s="9" t="n">
        <f aca="false">G68/(assumptions!$B$4*assumptions!$B$5)</f>
        <v>0.177777777777778</v>
      </c>
      <c r="J68" s="4" t="s">
        <v>219</v>
      </c>
    </row>
    <row r="69" customFormat="false" ht="15" hidden="false" customHeight="true" outlineLevel="0" collapsed="false">
      <c r="A69" s="4" t="s">
        <v>220</v>
      </c>
      <c r="B69" s="4" t="s">
        <v>221</v>
      </c>
      <c r="C69" s="5" t="s">
        <v>200</v>
      </c>
      <c r="D69" s="5"/>
      <c r="E69" s="6" t="s">
        <v>19</v>
      </c>
      <c r="F69" s="6" t="s">
        <v>15</v>
      </c>
      <c r="G69" s="7" t="n">
        <v>32</v>
      </c>
      <c r="H69" s="8" t="n">
        <f aca="false">G69*assumptions!$B$3</f>
        <v>6400</v>
      </c>
      <c r="I69" s="9" t="n">
        <f aca="false">G69/(assumptions!$B$4*assumptions!$B$5)</f>
        <v>0.355555555555556</v>
      </c>
      <c r="J69" s="4" t="s">
        <v>222</v>
      </c>
    </row>
    <row r="70" customFormat="false" ht="15" hidden="false" customHeight="true" outlineLevel="0" collapsed="false">
      <c r="A70" s="10" t="s">
        <v>223</v>
      </c>
      <c r="B70" s="10" t="s">
        <v>224</v>
      </c>
      <c r="C70" s="11" t="s">
        <v>200</v>
      </c>
      <c r="D70" s="12" t="s">
        <v>61</v>
      </c>
      <c r="E70" s="6" t="s">
        <v>14</v>
      </c>
      <c r="F70" s="6" t="s">
        <v>15</v>
      </c>
      <c r="G70" s="7" t="n">
        <v>64</v>
      </c>
      <c r="H70" s="13" t="n">
        <f aca="false">G70*assumptions!$B$3</f>
        <v>12800</v>
      </c>
      <c r="I70" s="14" t="n">
        <f aca="false">G70/(assumptions!$B$4*assumptions!$B$5)</f>
        <v>0.711111111111111</v>
      </c>
      <c r="J70" s="10" t="s">
        <v>225</v>
      </c>
    </row>
    <row r="71" customFormat="false" ht="15" hidden="false" customHeight="true" outlineLevel="0" collapsed="false">
      <c r="A71" s="4" t="s">
        <v>226</v>
      </c>
      <c r="B71" s="4" t="s">
        <v>227</v>
      </c>
      <c r="C71" s="5" t="s">
        <v>200</v>
      </c>
      <c r="D71" s="5"/>
      <c r="E71" s="6" t="s">
        <v>19</v>
      </c>
      <c r="F71" s="6" t="s">
        <v>23</v>
      </c>
      <c r="G71" s="7" t="n">
        <v>16</v>
      </c>
      <c r="H71" s="8" t="n">
        <f aca="false">G71*assumptions!$B$3</f>
        <v>3200</v>
      </c>
      <c r="I71" s="9" t="n">
        <f aca="false">G71/(assumptions!$B$4*assumptions!$B$5)</f>
        <v>0.177777777777778</v>
      </c>
      <c r="J71" s="4" t="s">
        <v>228</v>
      </c>
    </row>
    <row r="72" customFormat="false" ht="15" hidden="false" customHeight="true" outlineLevel="0" collapsed="false">
      <c r="A72" s="4" t="s">
        <v>229</v>
      </c>
      <c r="B72" s="4" t="s">
        <v>230</v>
      </c>
      <c r="C72" s="5" t="s">
        <v>200</v>
      </c>
      <c r="D72" s="5"/>
      <c r="E72" s="6" t="s">
        <v>14</v>
      </c>
      <c r="F72" s="6" t="s">
        <v>15</v>
      </c>
      <c r="G72" s="7" t="n">
        <v>24</v>
      </c>
      <c r="H72" s="8" t="n">
        <f aca="false">G72*assumptions!$B$3</f>
        <v>4800</v>
      </c>
      <c r="I72" s="9" t="n">
        <f aca="false">G72/(assumptions!$B$4*assumptions!$B$5)</f>
        <v>0.266666666666667</v>
      </c>
      <c r="J72" s="4" t="s">
        <v>231</v>
      </c>
    </row>
    <row r="73" customFormat="false" ht="15" hidden="false" customHeight="true" outlineLevel="0" collapsed="false">
      <c r="A73" s="4" t="s">
        <v>232</v>
      </c>
      <c r="B73" s="4" t="s">
        <v>233</v>
      </c>
      <c r="C73" s="5" t="s">
        <v>200</v>
      </c>
      <c r="D73" s="5"/>
      <c r="E73" s="6" t="s">
        <v>14</v>
      </c>
      <c r="F73" s="6" t="s">
        <v>15</v>
      </c>
      <c r="G73" s="7" t="n">
        <v>32</v>
      </c>
      <c r="H73" s="8" t="n">
        <f aca="false">G73*assumptions!$B$3</f>
        <v>6400</v>
      </c>
      <c r="I73" s="9" t="n">
        <f aca="false">G73/(assumptions!$B$4*assumptions!$B$5)</f>
        <v>0.355555555555556</v>
      </c>
      <c r="J73" s="4" t="s">
        <v>234</v>
      </c>
    </row>
    <row r="74" customFormat="false" ht="15" hidden="false" customHeight="true" outlineLevel="0" collapsed="false">
      <c r="A74" s="10" t="s">
        <v>235</v>
      </c>
      <c r="B74" s="10" t="s">
        <v>236</v>
      </c>
      <c r="C74" s="11" t="s">
        <v>200</v>
      </c>
      <c r="D74" s="12" t="s">
        <v>61</v>
      </c>
      <c r="E74" s="6" t="s">
        <v>48</v>
      </c>
      <c r="F74" s="6" t="s">
        <v>23</v>
      </c>
      <c r="G74" s="7" t="n">
        <v>24</v>
      </c>
      <c r="H74" s="13" t="n">
        <f aca="false">G74*assumptions!$B$3</f>
        <v>4800</v>
      </c>
      <c r="I74" s="14" t="n">
        <f aca="false">G74/(assumptions!$B$4*assumptions!$B$5)</f>
        <v>0.266666666666667</v>
      </c>
      <c r="J74" s="10" t="s">
        <v>237</v>
      </c>
    </row>
    <row r="75" customFormat="false" ht="15" hidden="false" customHeight="true" outlineLevel="0" collapsed="false">
      <c r="A75" s="4" t="s">
        <v>238</v>
      </c>
      <c r="B75" s="4" t="s">
        <v>239</v>
      </c>
      <c r="C75" s="5" t="s">
        <v>200</v>
      </c>
      <c r="D75" s="5"/>
      <c r="E75" s="6" t="s">
        <v>19</v>
      </c>
      <c r="F75" s="6" t="s">
        <v>23</v>
      </c>
      <c r="G75" s="7" t="n">
        <v>24</v>
      </c>
      <c r="H75" s="8" t="n">
        <f aca="false">G75*assumptions!$B$3</f>
        <v>4800</v>
      </c>
      <c r="I75" s="9" t="n">
        <f aca="false">G75/(assumptions!$B$4*assumptions!$B$5)</f>
        <v>0.266666666666667</v>
      </c>
      <c r="J75" s="4" t="s">
        <v>240</v>
      </c>
    </row>
    <row r="76" customFormat="false" ht="15" hidden="false" customHeight="true" outlineLevel="0" collapsed="false">
      <c r="A76" s="10" t="s">
        <v>241</v>
      </c>
      <c r="B76" s="10" t="s">
        <v>242</v>
      </c>
      <c r="C76" s="11" t="s">
        <v>200</v>
      </c>
      <c r="D76" s="12" t="s">
        <v>61</v>
      </c>
      <c r="E76" s="6" t="s">
        <v>19</v>
      </c>
      <c r="F76" s="6" t="s">
        <v>15</v>
      </c>
      <c r="G76" s="7" t="n">
        <v>32</v>
      </c>
      <c r="H76" s="13" t="n">
        <f aca="false">G76*assumptions!$B$3</f>
        <v>6400</v>
      </c>
      <c r="I76" s="14" t="n">
        <f aca="false">G76/(assumptions!$B$4*assumptions!$B$5)</f>
        <v>0.355555555555556</v>
      </c>
      <c r="J76" s="10" t="s">
        <v>243</v>
      </c>
    </row>
    <row r="77" customFormat="false" ht="15" hidden="false" customHeight="true" outlineLevel="0" collapsed="false">
      <c r="A77" s="10" t="s">
        <v>244</v>
      </c>
      <c r="B77" s="10" t="s">
        <v>245</v>
      </c>
      <c r="C77" s="11" t="s">
        <v>200</v>
      </c>
      <c r="D77" s="12" t="s">
        <v>61</v>
      </c>
      <c r="E77" s="6" t="s">
        <v>14</v>
      </c>
      <c r="F77" s="6" t="s">
        <v>15</v>
      </c>
      <c r="G77" s="7" t="n">
        <v>40</v>
      </c>
      <c r="H77" s="13" t="n">
        <f aca="false">G77*assumptions!$B$3</f>
        <v>8000</v>
      </c>
      <c r="I77" s="14" t="n">
        <f aca="false">G77/(assumptions!$B$4*assumptions!$B$5)</f>
        <v>0.444444444444444</v>
      </c>
      <c r="J77" s="10" t="s">
        <v>246</v>
      </c>
    </row>
    <row r="78" customFormat="false" ht="15" hidden="false" customHeight="true" outlineLevel="0" collapsed="false">
      <c r="A78" s="4" t="s">
        <v>247</v>
      </c>
      <c r="B78" s="4" t="s">
        <v>248</v>
      </c>
      <c r="C78" s="5" t="s">
        <v>200</v>
      </c>
      <c r="D78" s="5"/>
      <c r="E78" s="6" t="s">
        <v>48</v>
      </c>
      <c r="F78" s="6" t="s">
        <v>147</v>
      </c>
      <c r="G78" s="7" t="n">
        <v>0</v>
      </c>
      <c r="H78" s="8" t="n">
        <f aca="false">G78*assumptions!$B$3</f>
        <v>0</v>
      </c>
      <c r="I78" s="9" t="n">
        <f aca="false">G78/(assumptions!$B$4*assumptions!$B$5)</f>
        <v>0</v>
      </c>
      <c r="J78" s="4" t="s">
        <v>249</v>
      </c>
    </row>
    <row r="79" customFormat="false" ht="15" hidden="false" customHeight="true" outlineLevel="0" collapsed="false">
      <c r="A79" s="4" t="s">
        <v>250</v>
      </c>
      <c r="B79" s="4" t="s">
        <v>251</v>
      </c>
      <c r="C79" s="5" t="s">
        <v>200</v>
      </c>
      <c r="D79" s="5"/>
      <c r="E79" s="6" t="s">
        <v>19</v>
      </c>
      <c r="F79" s="6" t="s">
        <v>23</v>
      </c>
      <c r="G79" s="7" t="n">
        <v>16</v>
      </c>
      <c r="H79" s="8" t="n">
        <f aca="false">G79*assumptions!$B$3</f>
        <v>3200</v>
      </c>
      <c r="I79" s="9" t="n">
        <f aca="false">G79/(assumptions!$B$4*assumptions!$B$5)</f>
        <v>0.177777777777778</v>
      </c>
      <c r="J79" s="4" t="s">
        <v>252</v>
      </c>
    </row>
    <row r="80" customFormat="false" ht="15" hidden="false" customHeight="true" outlineLevel="0" collapsed="false">
      <c r="A80" s="4" t="s">
        <v>253</v>
      </c>
      <c r="B80" s="4" t="s">
        <v>254</v>
      </c>
      <c r="C80" s="5" t="s">
        <v>200</v>
      </c>
      <c r="D80" s="5"/>
      <c r="E80" s="6" t="s">
        <v>19</v>
      </c>
      <c r="F80" s="6" t="s">
        <v>23</v>
      </c>
      <c r="G80" s="7" t="n">
        <v>24</v>
      </c>
      <c r="H80" s="8" t="n">
        <f aca="false">G80*assumptions!$B$3</f>
        <v>4800</v>
      </c>
      <c r="I80" s="9" t="n">
        <f aca="false">G80/(assumptions!$B$4*assumptions!$B$5)</f>
        <v>0.266666666666667</v>
      </c>
      <c r="J80" s="4" t="s">
        <v>255</v>
      </c>
    </row>
    <row r="81" customFormat="false" ht="15" hidden="false" customHeight="true" outlineLevel="0" collapsed="false">
      <c r="A81" s="10" t="s">
        <v>256</v>
      </c>
      <c r="B81" s="10" t="s">
        <v>257</v>
      </c>
      <c r="C81" s="11" t="s">
        <v>200</v>
      </c>
      <c r="D81" s="12" t="s">
        <v>61</v>
      </c>
      <c r="E81" s="6" t="s">
        <v>19</v>
      </c>
      <c r="F81" s="6" t="s">
        <v>15</v>
      </c>
      <c r="G81" s="7" t="n">
        <v>40</v>
      </c>
      <c r="H81" s="13" t="n">
        <f aca="false">G81*assumptions!$B$3</f>
        <v>8000</v>
      </c>
      <c r="I81" s="14" t="n">
        <f aca="false">G81/(assumptions!$B$4*assumptions!$B$5)</f>
        <v>0.444444444444444</v>
      </c>
      <c r="J81" s="10" t="s">
        <v>258</v>
      </c>
    </row>
    <row r="82" customFormat="false" ht="15" hidden="false" customHeight="true" outlineLevel="0" collapsed="false">
      <c r="A82" s="4" t="s">
        <v>259</v>
      </c>
      <c r="B82" s="4" t="s">
        <v>260</v>
      </c>
      <c r="C82" s="5" t="s">
        <v>200</v>
      </c>
      <c r="D82" s="5"/>
      <c r="E82" s="6" t="s">
        <v>19</v>
      </c>
      <c r="F82" s="6" t="s">
        <v>23</v>
      </c>
      <c r="G82" s="7" t="n">
        <v>16</v>
      </c>
      <c r="H82" s="8" t="n">
        <f aca="false">G82*assumptions!$B$3</f>
        <v>3200</v>
      </c>
      <c r="I82" s="9" t="n">
        <f aca="false">G82/(assumptions!$B$4*assumptions!$B$5)</f>
        <v>0.177777777777778</v>
      </c>
      <c r="J82" s="4" t="s">
        <v>261</v>
      </c>
    </row>
    <row r="83" customFormat="false" ht="15" hidden="false" customHeight="true" outlineLevel="0" collapsed="false">
      <c r="A83" s="4" t="s">
        <v>262</v>
      </c>
      <c r="B83" s="4" t="s">
        <v>263</v>
      </c>
      <c r="C83" s="5" t="s">
        <v>200</v>
      </c>
      <c r="D83" s="5"/>
      <c r="E83" s="6" t="s">
        <v>19</v>
      </c>
      <c r="F83" s="6" t="s">
        <v>15</v>
      </c>
      <c r="G83" s="7" t="n">
        <v>24</v>
      </c>
      <c r="H83" s="8" t="n">
        <f aca="false">G83*assumptions!$B$3</f>
        <v>4800</v>
      </c>
      <c r="I83" s="9" t="n">
        <f aca="false">G83/(assumptions!$B$4*assumptions!$B$5)</f>
        <v>0.266666666666667</v>
      </c>
      <c r="J83" s="4" t="s">
        <v>264</v>
      </c>
    </row>
    <row r="84" customFormat="false" ht="15" hidden="false" customHeight="true" outlineLevel="0" collapsed="false">
      <c r="A84" s="4" t="s">
        <v>265</v>
      </c>
      <c r="B84" s="4" t="s">
        <v>266</v>
      </c>
      <c r="C84" s="5" t="s">
        <v>200</v>
      </c>
      <c r="D84" s="5"/>
      <c r="E84" s="6" t="s">
        <v>19</v>
      </c>
      <c r="F84" s="6" t="s">
        <v>23</v>
      </c>
      <c r="G84" s="7" t="n">
        <v>16</v>
      </c>
      <c r="H84" s="8" t="n">
        <f aca="false">G84*assumptions!$B$3</f>
        <v>3200</v>
      </c>
      <c r="I84" s="9" t="n">
        <f aca="false">G84/(assumptions!$B$4*assumptions!$B$5)</f>
        <v>0.177777777777778</v>
      </c>
      <c r="J84" s="4" t="s">
        <v>267</v>
      </c>
    </row>
    <row r="85" customFormat="false" ht="15" hidden="false" customHeight="true" outlineLevel="0" collapsed="false">
      <c r="A85" s="10" t="s">
        <v>268</v>
      </c>
      <c r="B85" s="10" t="s">
        <v>269</v>
      </c>
      <c r="C85" s="11" t="s">
        <v>200</v>
      </c>
      <c r="D85" s="12" t="s">
        <v>61</v>
      </c>
      <c r="E85" s="6" t="s">
        <v>19</v>
      </c>
      <c r="F85" s="6" t="s">
        <v>15</v>
      </c>
      <c r="G85" s="7" t="n">
        <v>40</v>
      </c>
      <c r="H85" s="13" t="n">
        <f aca="false">G85*assumptions!$B$3</f>
        <v>8000</v>
      </c>
      <c r="I85" s="14" t="n">
        <f aca="false">G85/(assumptions!$B$4*assumptions!$B$5)</f>
        <v>0.444444444444444</v>
      </c>
      <c r="J85" s="10" t="s">
        <v>270</v>
      </c>
    </row>
    <row r="86" customFormat="false" ht="15" hidden="false" customHeight="true" outlineLevel="0" collapsed="false">
      <c r="A86" s="10" t="s">
        <v>271</v>
      </c>
      <c r="B86" s="10" t="s">
        <v>272</v>
      </c>
      <c r="C86" s="11" t="s">
        <v>200</v>
      </c>
      <c r="D86" s="12" t="s">
        <v>61</v>
      </c>
      <c r="E86" s="6" t="s">
        <v>14</v>
      </c>
      <c r="F86" s="6" t="s">
        <v>15</v>
      </c>
      <c r="G86" s="7" t="n">
        <v>56</v>
      </c>
      <c r="H86" s="13" t="n">
        <f aca="false">G86*assumptions!$B$3</f>
        <v>11200</v>
      </c>
      <c r="I86" s="14" t="n">
        <f aca="false">G86/(assumptions!$B$4*assumptions!$B$5)</f>
        <v>0.622222222222222</v>
      </c>
      <c r="J86" s="10" t="s">
        <v>273</v>
      </c>
    </row>
    <row r="87" customFormat="false" ht="15" hidden="false" customHeight="true" outlineLevel="0" collapsed="false">
      <c r="A87" s="4" t="s">
        <v>274</v>
      </c>
      <c r="B87" s="4" t="s">
        <v>275</v>
      </c>
      <c r="C87" s="5" t="s">
        <v>200</v>
      </c>
      <c r="D87" s="5"/>
      <c r="E87" s="6" t="s">
        <v>19</v>
      </c>
      <c r="F87" s="6" t="s">
        <v>23</v>
      </c>
      <c r="G87" s="7" t="n">
        <v>16</v>
      </c>
      <c r="H87" s="8" t="n">
        <f aca="false">G87*assumptions!$B$3</f>
        <v>3200</v>
      </c>
      <c r="I87" s="9" t="n">
        <f aca="false">G87/(assumptions!$B$4*assumptions!$B$5)</f>
        <v>0.177777777777778</v>
      </c>
      <c r="J87" s="4" t="s">
        <v>276</v>
      </c>
    </row>
    <row r="88" customFormat="false" ht="15" hidden="false" customHeight="true" outlineLevel="0" collapsed="false">
      <c r="A88" s="4" t="s">
        <v>277</v>
      </c>
      <c r="B88" s="4" t="s">
        <v>278</v>
      </c>
      <c r="C88" s="5" t="s">
        <v>200</v>
      </c>
      <c r="D88" s="5"/>
      <c r="E88" s="6" t="s">
        <v>19</v>
      </c>
      <c r="F88" s="6" t="s">
        <v>23</v>
      </c>
      <c r="G88" s="7" t="n">
        <v>24</v>
      </c>
      <c r="H88" s="8" t="n">
        <f aca="false">G88*assumptions!$B$3</f>
        <v>4800</v>
      </c>
      <c r="I88" s="9" t="n">
        <f aca="false">G88/(assumptions!$B$4*assumptions!$B$5)</f>
        <v>0.266666666666667</v>
      </c>
      <c r="J88" s="4" t="s">
        <v>279</v>
      </c>
    </row>
    <row r="89" customFormat="false" ht="15" hidden="false" customHeight="true" outlineLevel="0" collapsed="false">
      <c r="A89" s="4" t="s">
        <v>280</v>
      </c>
      <c r="B89" s="4" t="s">
        <v>281</v>
      </c>
      <c r="C89" s="5" t="s">
        <v>200</v>
      </c>
      <c r="D89" s="5"/>
      <c r="E89" s="6" t="s">
        <v>19</v>
      </c>
      <c r="F89" s="6" t="s">
        <v>23</v>
      </c>
      <c r="G89" s="7" t="n">
        <v>16</v>
      </c>
      <c r="H89" s="8" t="n">
        <f aca="false">G89*assumptions!$B$3</f>
        <v>3200</v>
      </c>
      <c r="I89" s="9" t="n">
        <f aca="false">G89/(assumptions!$B$4*assumptions!$B$5)</f>
        <v>0.177777777777778</v>
      </c>
      <c r="J89" s="4" t="s">
        <v>282</v>
      </c>
    </row>
    <row r="90" customFormat="false" ht="15" hidden="false" customHeight="true" outlineLevel="0" collapsed="false">
      <c r="A90" s="4" t="s">
        <v>283</v>
      </c>
      <c r="B90" s="4" t="s">
        <v>284</v>
      </c>
      <c r="C90" s="5" t="s">
        <v>200</v>
      </c>
      <c r="D90" s="5"/>
      <c r="E90" s="6" t="s">
        <v>14</v>
      </c>
      <c r="F90" s="6" t="s">
        <v>15</v>
      </c>
      <c r="G90" s="7" t="n">
        <v>40</v>
      </c>
      <c r="H90" s="8" t="n">
        <f aca="false">G90*assumptions!$B$3</f>
        <v>8000</v>
      </c>
      <c r="I90" s="9" t="n">
        <f aca="false">G90/(assumptions!$B$4*assumptions!$B$5)</f>
        <v>0.444444444444444</v>
      </c>
      <c r="J90" s="4" t="s">
        <v>285</v>
      </c>
    </row>
    <row r="91" customFormat="false" ht="15" hidden="false" customHeight="true" outlineLevel="0" collapsed="false">
      <c r="A91" s="4" t="s">
        <v>286</v>
      </c>
      <c r="B91" s="4" t="s">
        <v>287</v>
      </c>
      <c r="C91" s="5" t="s">
        <v>200</v>
      </c>
      <c r="D91" s="5"/>
      <c r="E91" s="6" t="s">
        <v>48</v>
      </c>
      <c r="F91" s="6" t="s">
        <v>147</v>
      </c>
      <c r="G91" s="7" t="n">
        <v>0</v>
      </c>
      <c r="H91" s="8" t="n">
        <f aca="false">G91*assumptions!$B$3</f>
        <v>0</v>
      </c>
      <c r="I91" s="9" t="n">
        <f aca="false">G91/(assumptions!$B$4*assumptions!$B$5)</f>
        <v>0</v>
      </c>
      <c r="J91" s="4" t="s">
        <v>288</v>
      </c>
    </row>
    <row r="92" customFormat="false" ht="15" hidden="false" customHeight="true" outlineLevel="0" collapsed="false">
      <c r="A92" s="4" t="s">
        <v>289</v>
      </c>
      <c r="B92" s="4" t="s">
        <v>290</v>
      </c>
      <c r="C92" s="5" t="s">
        <v>200</v>
      </c>
      <c r="D92" s="5"/>
      <c r="E92" s="6" t="s">
        <v>19</v>
      </c>
      <c r="F92" s="6" t="s">
        <v>23</v>
      </c>
      <c r="G92" s="7" t="n">
        <v>24</v>
      </c>
      <c r="H92" s="8" t="n">
        <f aca="false">G92*assumptions!$B$3</f>
        <v>4800</v>
      </c>
      <c r="I92" s="9" t="n">
        <f aca="false">G92/(assumptions!$B$4*assumptions!$B$5)</f>
        <v>0.266666666666667</v>
      </c>
      <c r="J92" s="4" t="s">
        <v>291</v>
      </c>
    </row>
    <row r="93" customFormat="false" ht="15" hidden="false" customHeight="true" outlineLevel="0" collapsed="false">
      <c r="A93" s="4" t="s">
        <v>292</v>
      </c>
      <c r="B93" s="4" t="s">
        <v>293</v>
      </c>
      <c r="C93" s="5" t="s">
        <v>200</v>
      </c>
      <c r="D93" s="5"/>
      <c r="E93" s="6" t="s">
        <v>19</v>
      </c>
      <c r="F93" s="6" t="s">
        <v>23</v>
      </c>
      <c r="G93" s="7" t="n">
        <v>16</v>
      </c>
      <c r="H93" s="8" t="n">
        <f aca="false">G93*assumptions!$B$3</f>
        <v>3200</v>
      </c>
      <c r="I93" s="9" t="n">
        <f aca="false">G93/(assumptions!$B$4*assumptions!$B$5)</f>
        <v>0.177777777777778</v>
      </c>
      <c r="J93" s="4" t="s">
        <v>294</v>
      </c>
    </row>
    <row r="94" customFormat="false" ht="15" hidden="false" customHeight="true" outlineLevel="0" collapsed="false">
      <c r="A94" s="4" t="s">
        <v>295</v>
      </c>
      <c r="B94" s="4" t="s">
        <v>296</v>
      </c>
      <c r="C94" s="5" t="s">
        <v>200</v>
      </c>
      <c r="D94" s="5"/>
      <c r="E94" s="6" t="s">
        <v>19</v>
      </c>
      <c r="F94" s="6" t="s">
        <v>23</v>
      </c>
      <c r="G94" s="7" t="n">
        <v>16</v>
      </c>
      <c r="H94" s="8" t="n">
        <f aca="false">G94*assumptions!$B$3</f>
        <v>3200</v>
      </c>
      <c r="I94" s="9" t="n">
        <f aca="false">G94/(assumptions!$B$4*assumptions!$B$5)</f>
        <v>0.177777777777778</v>
      </c>
      <c r="J94" s="4" t="s">
        <v>297</v>
      </c>
    </row>
    <row r="95" customFormat="false" ht="15" hidden="false" customHeight="true" outlineLevel="0" collapsed="false">
      <c r="A95" s="4" t="s">
        <v>298</v>
      </c>
      <c r="B95" s="4" t="s">
        <v>299</v>
      </c>
      <c r="C95" s="5" t="s">
        <v>200</v>
      </c>
      <c r="D95" s="5"/>
      <c r="E95" s="6" t="s">
        <v>48</v>
      </c>
      <c r="F95" s="6" t="s">
        <v>147</v>
      </c>
      <c r="G95" s="7" t="n">
        <v>0</v>
      </c>
      <c r="H95" s="8" t="n">
        <f aca="false">G95*assumptions!$B$3</f>
        <v>0</v>
      </c>
      <c r="I95" s="9" t="n">
        <f aca="false">G95/(assumptions!$B$4*assumptions!$B$5)</f>
        <v>0</v>
      </c>
      <c r="J95" s="4" t="s">
        <v>300</v>
      </c>
    </row>
    <row r="96" customFormat="false" ht="15" hidden="false" customHeight="true" outlineLevel="0" collapsed="false">
      <c r="A96" s="15" t="s">
        <v>301</v>
      </c>
      <c r="B96" s="16"/>
      <c r="C96" s="16"/>
      <c r="D96" s="16"/>
      <c r="E96" s="16"/>
      <c r="F96" s="16"/>
      <c r="G96" s="17" t="n">
        <f aca="false">SUM(G3:G95)</f>
        <v>1684</v>
      </c>
      <c r="H96" s="18" t="n">
        <f aca="false">SUM(H3:H95)</f>
        <v>336800</v>
      </c>
      <c r="I96" s="19" t="n">
        <f aca="false">G96/(assumptions!$B$4*assumptions!$B$5)</f>
        <v>18.7111111111111</v>
      </c>
      <c r="J96" s="16"/>
    </row>
    <row r="98" customFormat="false" ht="15" hidden="false" customHeight="true" outlineLevel="0" collapsed="false">
      <c r="A98" s="20" t="s">
        <v>302</v>
      </c>
      <c r="B98" s="21"/>
      <c r="C98" s="21"/>
      <c r="D98" s="21"/>
      <c r="E98" s="21"/>
      <c r="F98" s="21"/>
      <c r="G98" s="22" t="n">
        <f aca="false">SUMIF(D3:D95,"YES",G3:G95)</f>
        <v>520</v>
      </c>
      <c r="H98" s="13" t="n">
        <f aca="false">SUMIF(D3:D95,"YES",H3:H95)</f>
        <v>104000</v>
      </c>
      <c r="I98" s="14" t="n">
        <f aca="false">G98/(assumptions!$B$4*assumptions!$B$5*0.6)</f>
        <v>9.62962962962963</v>
      </c>
      <c r="J98" s="21"/>
    </row>
    <row r="100" customFormat="false" ht="15" hidden="false" customHeight="true" outlineLevel="0" collapsed="false">
      <c r="A100" s="23" t="s">
        <v>303</v>
      </c>
    </row>
    <row r="101" customFormat="false" ht="15" hidden="false" customHeight="true" outlineLevel="0" collapsed="false">
      <c r="A101" s="4" t="s">
        <v>13</v>
      </c>
      <c r="G101" s="24" t="n">
        <f aca="false">SUMIF(C3:C95,"Org",G3:G95)</f>
        <v>664</v>
      </c>
      <c r="H101" s="8" t="n">
        <f aca="false">SUMIF(C3:C95,"Org",H3:H95)</f>
        <v>132800</v>
      </c>
    </row>
    <row r="102" customFormat="false" ht="15" hidden="false" customHeight="true" outlineLevel="0" collapsed="false">
      <c r="A102" s="4" t="s">
        <v>131</v>
      </c>
      <c r="G102" s="24" t="n">
        <f aca="false">SUMIF(C3:C95,"People",G3:G95)</f>
        <v>88</v>
      </c>
      <c r="H102" s="8" t="n">
        <f aca="false">SUMIF(C3:C95,"People",H3:H95)</f>
        <v>17600</v>
      </c>
    </row>
    <row r="103" customFormat="false" ht="15" hidden="false" customHeight="true" outlineLevel="0" collapsed="false">
      <c r="A103" s="4" t="s">
        <v>157</v>
      </c>
      <c r="G103" s="24" t="n">
        <f aca="false">SUMIF(C3:C95,"Physical",G3:G95)</f>
        <v>84</v>
      </c>
      <c r="H103" s="8" t="n">
        <f aca="false">SUMIF(C3:C95,"Physical",H3:H95)</f>
        <v>16800</v>
      </c>
    </row>
    <row r="104" customFormat="false" ht="15" hidden="false" customHeight="true" outlineLevel="0" collapsed="false">
      <c r="A104" s="4" t="s">
        <v>200</v>
      </c>
      <c r="G104" s="24" t="n">
        <f aca="false">SUMIF(C3:C95,"Tech",G3:G95)</f>
        <v>848</v>
      </c>
      <c r="H104" s="8" t="n">
        <f aca="false">SUMIF(C3:C95,"Tech",H3:H95)</f>
        <v>169600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304</v>
      </c>
      <c r="B1" s="2"/>
    </row>
    <row r="2" customFormat="false" ht="15" hidden="false" customHeight="true" outlineLevel="0" collapsed="false">
      <c r="A2" s="25" t="s">
        <v>305</v>
      </c>
      <c r="B2" s="25" t="s">
        <v>306</v>
      </c>
    </row>
    <row r="3" customFormat="false" ht="15" hidden="false" customHeight="true" outlineLevel="0" collapsed="false">
      <c r="A3" s="4" t="s">
        <v>147</v>
      </c>
      <c r="B3" s="4" t="s">
        <v>307</v>
      </c>
    </row>
    <row r="4" customFormat="false" ht="15" hidden="false" customHeight="true" outlineLevel="0" collapsed="false">
      <c r="A4" s="4" t="s">
        <v>23</v>
      </c>
      <c r="B4" s="4" t="s">
        <v>308</v>
      </c>
    </row>
    <row r="5" customFormat="false" ht="15" hidden="false" customHeight="true" outlineLevel="0" collapsed="false">
      <c r="A5" s="4" t="s">
        <v>15</v>
      </c>
      <c r="B5" s="4" t="s">
        <v>309</v>
      </c>
    </row>
    <row r="6" customFormat="false" ht="15" hidden="false" customHeight="true" outlineLevel="0" collapsed="false">
      <c r="A6" s="4" t="s">
        <v>310</v>
      </c>
      <c r="B6" s="4" t="s">
        <v>311</v>
      </c>
    </row>
    <row r="8" customFormat="false" ht="15" hidden="false" customHeight="true" outlineLevel="0" collapsed="false">
      <c r="A8" s="26" t="s">
        <v>312</v>
      </c>
      <c r="B8" s="26"/>
    </row>
    <row r="9" customFormat="false" ht="15" hidden="false" customHeight="true" outlineLevel="0" collapsed="false">
      <c r="A9" s="25" t="s">
        <v>305</v>
      </c>
      <c r="B9" s="25" t="s">
        <v>306</v>
      </c>
    </row>
    <row r="10" customFormat="false" ht="15" hidden="false" customHeight="true" outlineLevel="0" collapsed="false">
      <c r="A10" s="4" t="s">
        <v>313</v>
      </c>
      <c r="B10" s="4" t="s">
        <v>314</v>
      </c>
    </row>
    <row r="11" customFormat="false" ht="15" hidden="false" customHeight="true" outlineLevel="0" collapsed="false">
      <c r="A11" s="4" t="s">
        <v>48</v>
      </c>
      <c r="B11" s="4" t="s">
        <v>315</v>
      </c>
    </row>
    <row r="12" customFormat="false" ht="15" hidden="false" customHeight="true" outlineLevel="0" collapsed="false">
      <c r="A12" s="4" t="s">
        <v>19</v>
      </c>
      <c r="B12" s="4" t="s">
        <v>316</v>
      </c>
    </row>
    <row r="13" customFormat="false" ht="15" hidden="false" customHeight="true" outlineLevel="0" collapsed="false">
      <c r="A13" s="4" t="s">
        <v>14</v>
      </c>
      <c r="B13" s="4" t="s">
        <v>317</v>
      </c>
    </row>
    <row r="14" customFormat="false" ht="15" hidden="false" customHeight="true" outlineLevel="0" collapsed="false">
      <c r="A14" s="4" t="s">
        <v>310</v>
      </c>
      <c r="B14" s="4" t="s">
        <v>318</v>
      </c>
    </row>
  </sheetData>
  <mergeCells count="2">
    <mergeCell ref="A1:B1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36"/>
  </cols>
  <sheetData>
    <row r="1" customFormat="false" ht="15" hidden="false" customHeight="true" outlineLevel="0" collapsed="false">
      <c r="A1" s="2" t="s">
        <v>319</v>
      </c>
      <c r="B1" s="2"/>
      <c r="C1" s="2"/>
    </row>
    <row r="2" customFormat="false" ht="15" hidden="false" customHeight="true" outlineLevel="0" collapsed="false">
      <c r="A2" s="25" t="s">
        <v>320</v>
      </c>
      <c r="B2" s="25" t="s">
        <v>305</v>
      </c>
      <c r="C2" s="25" t="s">
        <v>321</v>
      </c>
    </row>
    <row r="3" customFormat="false" ht="15" hidden="false" customHeight="true" outlineLevel="0" collapsed="false">
      <c r="A3" s="4" t="s">
        <v>322</v>
      </c>
      <c r="B3" s="27" t="n">
        <v>200</v>
      </c>
      <c r="C3" s="4" t="s">
        <v>323</v>
      </c>
    </row>
    <row r="4" customFormat="false" ht="15" hidden="false" customHeight="true" outlineLevel="0" collapsed="false">
      <c r="A4" s="4" t="s">
        <v>324</v>
      </c>
      <c r="B4" s="6" t="n">
        <v>3</v>
      </c>
      <c r="C4" s="4" t="s">
        <v>325</v>
      </c>
    </row>
    <row r="5" customFormat="false" ht="15" hidden="false" customHeight="true" outlineLevel="0" collapsed="false">
      <c r="A5" s="4" t="s">
        <v>326</v>
      </c>
      <c r="B5" s="6" t="n">
        <v>30</v>
      </c>
      <c r="C5" s="4" t="s">
        <v>327</v>
      </c>
    </row>
    <row r="6" customFormat="false" ht="15" hidden="false" customHeight="true" outlineLevel="0" collapsed="false">
      <c r="A6" s="4" t="s">
        <v>328</v>
      </c>
      <c r="B6" s="28" t="n">
        <v>0.7</v>
      </c>
      <c r="C6" s="4" t="s">
        <v>329</v>
      </c>
    </row>
    <row r="7" customFormat="false" ht="15" hidden="false" customHeight="true" outlineLevel="0" collapsed="false">
      <c r="A7" s="4" t="s">
        <v>330</v>
      </c>
      <c r="B7" s="6" t="s">
        <v>331</v>
      </c>
      <c r="C7" s="4"/>
    </row>
    <row r="8" customFormat="false" ht="15" hidden="false" customHeight="true" outlineLevel="0" collapsed="false">
      <c r="A8" s="4" t="s">
        <v>332</v>
      </c>
      <c r="B8" s="6" t="s">
        <v>333</v>
      </c>
      <c r="C8" s="4" t="s">
        <v>334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335</v>
      </c>
      <c r="B1" s="2"/>
      <c r="C1" s="2"/>
      <c r="D1" s="2"/>
    </row>
    <row r="2" customFormat="false" ht="15" hidden="false" customHeight="true" outlineLevel="0" collapsed="false">
      <c r="A2" s="25" t="s">
        <v>336</v>
      </c>
      <c r="B2" s="25" t="s">
        <v>337</v>
      </c>
      <c r="C2" s="25" t="s">
        <v>338</v>
      </c>
      <c r="D2" s="25" t="s">
        <v>339</v>
      </c>
    </row>
    <row r="3" customFormat="false" ht="15" hidden="false" customHeight="true" outlineLevel="0" collapsed="false">
      <c r="A3" s="4" t="s">
        <v>340</v>
      </c>
      <c r="B3" s="8" t="n">
        <f aca="false">gap_inventory!H96*0.7</f>
        <v>235760</v>
      </c>
      <c r="C3" s="8" t="n">
        <f aca="false">gap_inventory!H96</f>
        <v>336800</v>
      </c>
      <c r="D3" s="8" t="n">
        <f aca="false">gap_inventory!H96*1.5</f>
        <v>505200</v>
      </c>
    </row>
    <row r="4" customFormat="false" ht="15" hidden="false" customHeight="true" outlineLevel="0" collapsed="false">
      <c r="A4" s="4" t="s">
        <v>341</v>
      </c>
      <c r="B4" s="29" t="n">
        <v>0.5</v>
      </c>
      <c r="C4" s="30" t="n">
        <f aca="false">assumptions!$B$6</f>
        <v>0.7</v>
      </c>
      <c r="D4" s="29" t="n">
        <v>1</v>
      </c>
    </row>
    <row r="5" customFormat="false" ht="15" hidden="false" customHeight="true" outlineLevel="0" collapsed="false">
      <c r="A5" s="15" t="s">
        <v>342</v>
      </c>
      <c r="B5" s="31" t="n">
        <f aca="false">B3*B4</f>
        <v>117880</v>
      </c>
      <c r="C5" s="31" t="n">
        <f aca="false">C3*C4</f>
        <v>235760</v>
      </c>
      <c r="D5" s="31" t="n">
        <f aca="false">D3*D4</f>
        <v>505200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2026-05-03T07:12:05Z</dcterms:created>
  <dc:creator>openpyxl</dc:creator>
  <dc:description/>
  <dc:language>en-US</dc:language>
  <cp:lastModifiedBy/>
  <dcterms:modified xsi:type="dcterms:W3CDTF">2026-05-03T12:47:20Z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