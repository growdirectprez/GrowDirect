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ildwac_lift" sheetId="3" state="visible" r:id="rId3"/>
    <sheet xmlns:r="http://schemas.openxmlformats.org/officeDocument/2006/relationships" name="crdm_lift" sheetId="4" state="visible" r:id="rId4"/>
    <sheet xmlns:r="http://schemas.openxmlformats.org/officeDocument/2006/relationships" name="gcp_infra" sheetId="5" state="visible" r:id="rId5"/>
    <sheet xmlns:r="http://schemas.openxmlformats.org/officeDocument/2006/relationships" name="program_cost" sheetId="6" state="visible" r:id="rId6"/>
    <sheet xmlns:r="http://schemas.openxmlformats.org/officeDocument/2006/relationships" name="glide_path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555555"/>
    </font>
    <font>
      <b val="1"/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FFF8E1"/>
      </patternFill>
    </fill>
    <fill>
      <patternFill patternType="solid">
        <fgColor rgb="00F5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9" fontId="3" fillId="4" borderId="0" pivotButton="0" quotePrefix="0" xfId="0"/>
    <xf numFmtId="164" fontId="2" fillId="3" borderId="0" pivotButton="0" quotePrefix="0" xfId="0"/>
    <xf numFmtId="164" fontId="3" fillId="4" borderId="0" pivotButton="0" quotePrefix="0" xfId="0"/>
    <xf numFmtId="164" fontId="0" fillId="0" borderId="0" pivotButton="0" quotePrefix="0" xfId="0"/>
    <xf numFmtId="0" fontId="3" fillId="4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164" fontId="4" fillId="0" borderId="0" pivotButton="0" quotePrefix="0" xfId="0"/>
    <xf numFmtId="164" fontId="5" fillId="2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5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Notes</t>
        </is>
      </c>
    </row>
    <row r="2">
      <c r="A2" t="inlineStr">
        <is>
          <t>Target name</t>
        </is>
      </c>
      <c r="B2" s="2" t="inlineStr">
        <is>
          <t>RapidPOS LLC</t>
        </is>
      </c>
      <c r="C2" t="inlineStr">
        <is>
          <t>confirmed</t>
        </is>
      </c>
      <c r="D2" t="inlineStr"/>
    </row>
    <row r="3">
      <c r="A3" t="inlineStr">
        <is>
          <t>Type</t>
        </is>
      </c>
      <c r="B3" s="2" t="inlineStr">
        <is>
          <t>Counterpoint VAR</t>
        </is>
      </c>
      <c r="C3" t="inlineStr">
        <is>
          <t>confirmed</t>
        </is>
      </c>
      <c r="D3" t="inlineStr"/>
    </row>
    <row r="4">
      <c r="A4" t="inlineStr">
        <is>
          <t>Customer count</t>
        </is>
      </c>
      <c r="B4" s="2" t="n">
        <v>50</v>
      </c>
      <c r="C4" t="inlineStr">
        <is>
          <t>guess</t>
        </is>
      </c>
      <c r="D4" t="inlineStr">
        <is>
          <t>Founder verification needed</t>
        </is>
      </c>
    </row>
    <row r="5">
      <c r="A5" t="inlineStr">
        <is>
          <t>Aggregate ARR ($)</t>
        </is>
      </c>
      <c r="B5" s="2" t="n">
        <v>2700000</v>
      </c>
      <c r="C5" t="inlineStr">
        <is>
          <t>guess</t>
        </is>
      </c>
      <c r="D5" t="inlineStr">
        <is>
          <t>Target-profile midpoint $3-6M; midpoint $4.5M flagged elsewhere</t>
        </is>
      </c>
    </row>
    <row r="6">
      <c r="A6" t="inlineStr">
        <is>
          <t>Stores aggregate</t>
        </is>
      </c>
      <c r="B6" s="2" t="n">
        <v>1500</v>
      </c>
      <c r="C6" t="inlineStr">
        <is>
          <t>guess</t>
        </is>
      </c>
      <c r="D6" t="inlineStr">
        <is>
          <t>Range 500-2,500</t>
        </is>
      </c>
    </row>
    <row r="7">
      <c r="A7" t="inlineStr">
        <is>
          <t>Team headcount</t>
        </is>
      </c>
      <c r="B7" s="2" t="n">
        <v>9</v>
      </c>
      <c r="C7" t="inlineStr">
        <is>
          <t>guess</t>
        </is>
      </c>
      <c r="D7" t="inlineStr">
        <is>
          <t>Range 6-12</t>
        </is>
      </c>
    </row>
    <row r="8">
      <c r="A8" t="inlineStr">
        <is>
          <t>Senior engineers</t>
        </is>
      </c>
      <c r="B8" s="2" t="n">
        <v>3</v>
      </c>
      <c r="C8" t="inlineStr">
        <is>
          <t>guess</t>
        </is>
      </c>
      <c r="D8" t="inlineStr">
        <is>
          <t>Range 2-5; 1-2 are flight-risk-critical</t>
        </is>
      </c>
    </row>
    <row r="9">
      <c r="A9" t="inlineStr">
        <is>
          <t>Verticals served</t>
        </is>
      </c>
      <c r="B9" s="2" t="inlineStr">
        <is>
          <t>garden / gun / wine / specialty food / feed-and-tack</t>
        </is>
      </c>
      <c r="C9" t="inlineStr">
        <is>
          <t>confirmed</t>
        </is>
      </c>
      <c r="D9" t="inlineStr"/>
    </row>
    <row r="10">
      <c r="A10" t="inlineStr">
        <is>
          <t>Open ticket count</t>
        </is>
      </c>
      <c r="B10" s="2" t="n">
        <v>115</v>
      </c>
      <c r="C10" t="inlineStr">
        <is>
          <t>guess</t>
        </is>
      </c>
      <c r="D10" t="inlineStr">
        <is>
          <t>Range 80-150</t>
        </is>
      </c>
    </row>
    <row r="11">
      <c r="A11" t="inlineStr">
        <is>
          <t>Weekly inflow tickets</t>
        </is>
      </c>
      <c r="B11" s="2" t="n">
        <v>40</v>
      </c>
      <c r="C11" t="inlineStr">
        <is>
          <t>guess</t>
        </is>
      </c>
      <c r="D11" t="inlineStr">
        <is>
          <t>Range 30-50</t>
        </is>
      </c>
    </row>
    <row r="12">
      <c r="A12" t="inlineStr">
        <is>
          <t>% repeat-cause</t>
        </is>
      </c>
      <c r="B12" s="2" t="n">
        <v>0.65</v>
      </c>
      <c r="C12" t="inlineStr">
        <is>
          <t>guess</t>
        </is>
      </c>
      <c r="D12" t="inlineStr">
        <is>
          <t>Range 60-70%; load-bearing for A1+A2 sizing</t>
        </is>
      </c>
    </row>
    <row r="13">
      <c r="A13" t="inlineStr">
        <is>
          <t>Customer-bespoke %</t>
        </is>
      </c>
      <c r="B13" s="2" t="n">
        <v>0.3</v>
      </c>
      <c r="C13" t="inlineStr">
        <is>
          <t>guess</t>
        </is>
      </c>
      <c r="D13" t="inlineStr">
        <is>
          <t>Range 30%; 70% silently-repeating</t>
        </is>
      </c>
    </row>
    <row r="14">
      <c r="A14" t="inlineStr">
        <is>
          <t>Modernization appetite</t>
        </is>
      </c>
      <c r="B14" s="2" t="inlineStr">
        <is>
          <t>moderate</t>
        </is>
      </c>
      <c r="C14" t="inlineStr">
        <is>
          <t>guess</t>
        </is>
      </c>
      <c r="D14" t="inlineStr">
        <is>
          <t>Conservative team; needs to be sold on cloud narrative</t>
        </is>
      </c>
    </row>
    <row r="15">
      <c r="A15" t="inlineStr">
        <is>
          <t>Suitor landscape</t>
        </is>
      </c>
      <c r="B15" s="2" t="inlineStr">
        <is>
          <t>1-2 PE rollup interest likely</t>
        </is>
      </c>
      <c r="C15" t="inlineStr">
        <is>
          <t>guess</t>
        </is>
      </c>
      <c r="D15" t="inlineStr">
        <is>
          <t>Implicit clock 6-12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2" customWidth="1" min="4" max="4"/>
    <col width="18" customWidth="1" min="5" max="5"/>
    <col width="36" customWidth="1" min="6" max="6"/>
  </cols>
  <sheetData>
    <row r="1">
      <c r="A1" s="1" t="inlineStr">
        <is>
          <t>Cohort</t>
        </is>
      </c>
      <c r="B1" s="1" t="inlineStr">
        <is>
          <t>Customer count</t>
        </is>
      </c>
      <c r="C1" s="1" t="inlineStr">
        <is>
          <t>% of total</t>
        </is>
      </c>
      <c r="D1" s="1" t="inlineStr">
        <is>
          <t>ARR per customer ($)</t>
        </is>
      </c>
      <c r="E1" s="1" t="inlineStr">
        <is>
          <t>Cohort ARR ($)</t>
        </is>
      </c>
      <c r="F1" s="1" t="inlineStr">
        <is>
          <t>Notes</t>
        </is>
      </c>
    </row>
    <row r="2">
      <c r="A2" t="inlineStr">
        <is>
          <t>Eager (compliance-pressured / multi-store)</t>
        </is>
      </c>
      <c r="B2" s="2" t="n">
        <v>12</v>
      </c>
      <c r="C2" s="3">
        <f>B2/$B$5</f>
        <v/>
      </c>
      <c r="D2" s="4" t="n">
        <v>75000</v>
      </c>
      <c r="E2" s="5">
        <f>B2*D2</f>
        <v/>
      </c>
      <c r="F2" t="inlineStr">
        <is>
          <t>Migrate Phase B (M6-18)</t>
        </is>
      </c>
    </row>
    <row r="3">
      <c r="A3" t="inlineStr">
        <is>
          <t>Steady (single/small-multi location)</t>
        </is>
      </c>
      <c r="B3" s="2" t="n">
        <v>28</v>
      </c>
      <c r="C3" s="3">
        <f>B3/$B$5</f>
        <v/>
      </c>
      <c r="D3" s="4" t="n">
        <v>45000</v>
      </c>
      <c r="E3" s="5">
        <f>B3*D3</f>
        <v/>
      </c>
      <c r="F3" t="inlineStr">
        <is>
          <t>Migrate Phase C (M18-36)</t>
        </is>
      </c>
    </row>
    <row r="4">
      <c r="A4" t="inlineStr">
        <is>
          <t>Laggard (will not modernize)</t>
        </is>
      </c>
      <c r="B4" s="2" t="n">
        <v>10</v>
      </c>
      <c r="C4" s="3">
        <f>B4/$B$5</f>
        <v/>
      </c>
      <c r="D4" s="4" t="n">
        <v>35000</v>
      </c>
      <c r="E4" s="5">
        <f>B4*D4</f>
        <v/>
      </c>
      <c r="F4" t="inlineStr">
        <is>
          <t>Stay on Counterpoint; founder-team supports</t>
        </is>
      </c>
    </row>
    <row r="5">
      <c r="A5" t="inlineStr">
        <is>
          <t>TOTAL</t>
        </is>
      </c>
      <c r="B5">
        <f>SUM(B2:B4)</f>
        <v/>
      </c>
      <c r="C5" s="3">
        <f>SUM(C2:C4)</f>
        <v/>
      </c>
      <c r="D5" s="6" t="n"/>
      <c r="E5" s="5">
        <f>SUM(E2:E4)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Cohort</t>
        </is>
      </c>
      <c r="B1" s="1" t="inlineStr">
        <is>
          <t>Customers</t>
        </is>
      </c>
      <c r="C1" s="1" t="inlineStr">
        <is>
          <t>Avg devices</t>
        </is>
      </c>
      <c r="D1" s="1" t="inlineStr">
        <is>
          <t>Conversion difficulty</t>
        </is>
      </c>
      <c r="E1" s="1" t="inlineStr">
        <is>
          <t>Hours per customer</t>
        </is>
      </c>
      <c r="F1" s="1" t="inlineStr">
        <is>
          <t>Total hours</t>
        </is>
      </c>
      <c r="G1" s="1" t="inlineStr">
        <is>
          <t>$ at $200/hr</t>
        </is>
      </c>
    </row>
    <row r="2">
      <c r="A2" t="inlineStr">
        <is>
          <t>Eager</t>
        </is>
      </c>
      <c r="B2" s="7">
        <f>customers!B2</f>
        <v/>
      </c>
      <c r="C2" s="2" t="n">
        <v>8</v>
      </c>
      <c r="D2" s="2" t="n">
        <v>1.2</v>
      </c>
      <c r="E2">
        <f>C2*40*D2</f>
        <v/>
      </c>
      <c r="F2">
        <f>B2*E2</f>
        <v/>
      </c>
      <c r="G2" s="6">
        <f>F2*200</f>
        <v/>
      </c>
    </row>
    <row r="3">
      <c r="A3" t="inlineStr">
        <is>
          <t>Steady</t>
        </is>
      </c>
      <c r="B3" s="7">
        <f>customers!B3</f>
        <v/>
      </c>
      <c r="C3" s="2" t="n">
        <v>4</v>
      </c>
      <c r="D3" s="2" t="n">
        <v>1</v>
      </c>
      <c r="E3">
        <f>C3*40*D3</f>
        <v/>
      </c>
      <c r="F3">
        <f>B3*E3</f>
        <v/>
      </c>
      <c r="G3" s="6">
        <f>F3*200</f>
        <v/>
      </c>
    </row>
    <row r="4">
      <c r="A4" t="inlineStr">
        <is>
          <t>Laggard</t>
        </is>
      </c>
      <c r="B4" s="7">
        <f>customers!B4</f>
        <v/>
      </c>
      <c r="C4" s="2" t="n">
        <v>3</v>
      </c>
      <c r="D4" s="2" t="n">
        <v>0.8</v>
      </c>
      <c r="E4">
        <f>C4*40*D4</f>
        <v/>
      </c>
      <c r="F4">
        <f>B4*E4</f>
        <v/>
      </c>
      <c r="G4" s="6">
        <f>F4*200</f>
        <v/>
      </c>
    </row>
    <row r="5">
      <c r="A5" s="8" t="inlineStr">
        <is>
          <t>TOTAL</t>
        </is>
      </c>
      <c r="F5">
        <f>SUM(F2:F4)</f>
        <v/>
      </c>
      <c r="G5" s="6">
        <f>SUM(G2:G4)</f>
        <v/>
      </c>
    </row>
    <row r="8" ht="40" customHeight="1">
      <c r="A8" s="9" t="inlineStr">
        <is>
          <t>Note:</t>
        </is>
      </c>
      <c r="B8" s="10" t="inlineStr">
        <is>
          <t>ILDWAC = Item × Location × Device × MCP × Port × Weighted-Average-Cost (patent #63/991,596). Conversion difficulty multiplier &gt; 1 for serialized inventory; &gt; 1.5 for multi-vendor port mix.</t>
        </is>
      </c>
    </row>
  </sheetData>
  <mergeCells count="1">
    <mergeCell ref="B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Cohort</t>
        </is>
      </c>
      <c r="B1" s="1" t="inlineStr">
        <is>
          <t>Customers</t>
        </is>
      </c>
      <c r="C1" s="1" t="inlineStr">
        <is>
          <t>Custom tables/customer</t>
        </is>
      </c>
      <c r="D1" s="1" t="inlineStr">
        <is>
          <t>Hours per table</t>
        </is>
      </c>
      <c r="E1" s="1" t="inlineStr">
        <is>
          <t>Hours per customer</t>
        </is>
      </c>
      <c r="F1" s="1" t="inlineStr">
        <is>
          <t>Total hours</t>
        </is>
      </c>
      <c r="G1" s="1" t="inlineStr">
        <is>
          <t>$ at $200/hr</t>
        </is>
      </c>
    </row>
    <row r="2">
      <c r="A2" t="inlineStr">
        <is>
          <t>Eager</t>
        </is>
      </c>
      <c r="B2" s="7">
        <f>customers!B2</f>
        <v/>
      </c>
      <c r="C2" s="2" t="n">
        <v>12</v>
      </c>
      <c r="D2" s="2" t="n">
        <v>8</v>
      </c>
      <c r="E2">
        <f>C2*D2</f>
        <v/>
      </c>
      <c r="F2">
        <f>B2*E2</f>
        <v/>
      </c>
      <c r="G2" s="6">
        <f>F2*200</f>
        <v/>
      </c>
    </row>
    <row r="3">
      <c r="A3" t="inlineStr">
        <is>
          <t>Steady</t>
        </is>
      </c>
      <c r="B3" s="7">
        <f>customers!B3</f>
        <v/>
      </c>
      <c r="C3" s="2" t="n">
        <v>8</v>
      </c>
      <c r="D3" s="2" t="n">
        <v>8</v>
      </c>
      <c r="E3">
        <f>C3*D3</f>
        <v/>
      </c>
      <c r="F3">
        <f>B3*E3</f>
        <v/>
      </c>
      <c r="G3" s="6">
        <f>F3*200</f>
        <v/>
      </c>
    </row>
    <row r="4">
      <c r="A4" t="inlineStr">
        <is>
          <t>Laggard</t>
        </is>
      </c>
      <c r="B4" s="7">
        <f>customers!B4</f>
        <v/>
      </c>
      <c r="C4" s="2" t="n">
        <v>5</v>
      </c>
      <c r="D4" s="2" t="n">
        <v>8</v>
      </c>
      <c r="E4">
        <f>C4*D4</f>
        <v/>
      </c>
      <c r="F4">
        <f>B4*E4</f>
        <v/>
      </c>
      <c r="G4" s="6">
        <f>F4*200</f>
        <v/>
      </c>
    </row>
    <row r="5">
      <c r="A5" s="8" t="inlineStr">
        <is>
          <t>TOTAL</t>
        </is>
      </c>
      <c r="F5">
        <f>SUM(F2:F4)</f>
        <v/>
      </c>
      <c r="G5" s="6">
        <f>SUM(G2:G4)</f>
        <v/>
      </c>
    </row>
    <row r="8" ht="40" customHeight="1">
      <c r="A8" s="9" t="inlineStr">
        <is>
          <t>Note:</t>
        </is>
      </c>
      <c r="B8" s="10" t="inlineStr">
        <is>
          <t>CRDM = Canary Retail Data Model, anchored on GSLM (Walmart Intl 2009). Mapping each customer's Counterpoint tables + VAR-proprietary extensions onto CRDM. Hours/table covers schema mapping, adapter dev, validation.</t>
        </is>
      </c>
    </row>
  </sheetData>
  <mergeCells count="1">
    <mergeCell ref="B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4" customWidth="1" min="4" max="4"/>
    <col width="24" customWidth="1" min="5" max="5"/>
  </cols>
  <sheetData>
    <row r="1">
      <c r="A1" s="1" t="inlineStr">
        <is>
          <t>Workload</t>
        </is>
      </c>
      <c r="B1" s="1" t="inlineStr">
        <is>
          <t>T0 (today, $/mo)</t>
        </is>
      </c>
      <c r="C1" s="1" t="inlineStr">
        <is>
          <t>T1 (eager-cohort, $/mo)</t>
        </is>
      </c>
      <c r="D1" s="1" t="inlineStr">
        <is>
          <t>T2 (steady + new-logo, $/mo)</t>
        </is>
      </c>
      <c r="E1" s="1" t="inlineStr">
        <is>
          <t>T3 (Global-50 anchor, $/mo)</t>
        </is>
      </c>
    </row>
    <row r="2">
      <c r="A2" t="inlineStr">
        <is>
          <t>1. POS adapter ingress</t>
        </is>
      </c>
      <c r="B2" s="4" t="n">
        <v>0</v>
      </c>
      <c r="C2" s="4" t="n">
        <v>1500</v>
      </c>
      <c r="D2" s="4" t="n">
        <v>6000</v>
      </c>
      <c r="E2" s="4" t="n">
        <v>25000</v>
      </c>
    </row>
    <row r="3">
      <c r="A3" t="inlineStr">
        <is>
          <t>2. TSP transaction streaming</t>
        </is>
      </c>
      <c r="B3" s="4" t="n">
        <v>0</v>
      </c>
      <c r="C3" s="4" t="n">
        <v>1200</v>
      </c>
      <c r="D3" s="4" t="n">
        <v>5000</v>
      </c>
      <c r="E3" s="4" t="n">
        <v>20000</v>
      </c>
    </row>
    <row r="4">
      <c r="A4" t="inlineStr">
        <is>
          <t>3. CRDM canonical store (Cloud SQL → AlloyDB)</t>
        </is>
      </c>
      <c r="B4" s="4" t="n">
        <v>0</v>
      </c>
      <c r="C4" s="4" t="n">
        <v>3500</v>
      </c>
      <c r="D4" s="4" t="n">
        <v>12000</v>
      </c>
      <c r="E4" s="4" t="n">
        <v>60000</v>
      </c>
    </row>
    <row r="5">
      <c r="A5" t="inlineStr">
        <is>
          <t>4. ILDWAC service</t>
        </is>
      </c>
      <c r="B5" s="4" t="n">
        <v>0</v>
      </c>
      <c r="C5" s="4" t="n">
        <v>1000</v>
      </c>
      <c r="D5" s="4" t="n">
        <v>4000</v>
      </c>
      <c r="E5" s="4" t="n">
        <v>18000</v>
      </c>
    </row>
    <row r="6">
      <c r="A6" t="inlineStr">
        <is>
          <t>5. RIB batch + blockchain anchor</t>
        </is>
      </c>
      <c r="B6" s="4" t="n">
        <v>100</v>
      </c>
      <c r="C6" s="4" t="n">
        <v>600</v>
      </c>
      <c r="D6" s="4" t="n">
        <v>1800</v>
      </c>
      <c r="E6" s="4" t="n">
        <v>6000</v>
      </c>
    </row>
    <row r="7">
      <c r="A7" t="inlineStr">
        <is>
          <t>6. Hawk case management</t>
        </is>
      </c>
      <c r="B7" s="4" t="n">
        <v>0</v>
      </c>
      <c r="C7" s="4" t="n">
        <v>900</v>
      </c>
      <c r="D7" s="4" t="n">
        <v>3000</v>
      </c>
      <c r="E7" s="4" t="n">
        <v>12000</v>
      </c>
    </row>
    <row r="8">
      <c r="A8" t="inlineStr">
        <is>
          <t>7. Owl search + RAG</t>
        </is>
      </c>
      <c r="B8" s="4" t="n">
        <v>0</v>
      </c>
      <c r="C8" s="4" t="n">
        <v>1500</v>
      </c>
      <c r="D8" s="4" t="n">
        <v>5000</v>
      </c>
      <c r="E8" s="4" t="n">
        <v>22000</v>
      </c>
    </row>
    <row r="9">
      <c r="A9" t="inlineStr">
        <is>
          <t>8. LLM inference (Vertex AI)</t>
        </is>
      </c>
      <c r="B9" s="4" t="n">
        <v>200</v>
      </c>
      <c r="C9" s="4" t="n">
        <v>20000</v>
      </c>
      <c r="D9" s="4" t="n">
        <v>60000</v>
      </c>
      <c r="E9" s="4" t="n">
        <v>250000</v>
      </c>
    </row>
    <row r="10">
      <c r="A10" t="inlineStr">
        <is>
          <t>9. Edge agent (per-store)</t>
        </is>
      </c>
      <c r="B10" s="4" t="n">
        <v>0</v>
      </c>
      <c r="C10" s="4" t="n">
        <v>5000</v>
      </c>
      <c r="D10" s="4" t="n">
        <v>18000</v>
      </c>
      <c r="E10" s="4" t="n">
        <v>80000</v>
      </c>
    </row>
    <row r="11">
      <c r="A11" t="inlineStr">
        <is>
          <t>10. Identity / auth</t>
        </is>
      </c>
      <c r="B11" s="4" t="n">
        <v>0</v>
      </c>
      <c r="C11" s="4" t="n">
        <v>700</v>
      </c>
      <c r="D11" s="4" t="n">
        <v>2200</v>
      </c>
      <c r="E11" s="4" t="n">
        <v>8000</v>
      </c>
    </row>
    <row r="12">
      <c r="A12" t="inlineStr">
        <is>
          <t>11. Notifications (SendGrid + Twilio)</t>
        </is>
      </c>
      <c r="B12" s="4" t="n">
        <v>100</v>
      </c>
      <c r="C12" s="4" t="n">
        <v>1500</v>
      </c>
      <c r="D12" s="4" t="n">
        <v>5500</v>
      </c>
      <c r="E12" s="4" t="n">
        <v>22000</v>
      </c>
    </row>
    <row r="13">
      <c r="A13" t="inlineStr">
        <is>
          <t>12. Reporting / BI (BigQuery + Looker)</t>
        </is>
      </c>
      <c r="B13" s="4" t="n">
        <v>0</v>
      </c>
      <c r="C13" s="4" t="n">
        <v>3000</v>
      </c>
      <c r="D13" s="4" t="n">
        <v>9000</v>
      </c>
      <c r="E13" s="4" t="n">
        <v>35000</v>
      </c>
    </row>
    <row r="14">
      <c r="A14" t="inlineStr">
        <is>
          <t>13. Object / evidence storage</t>
        </is>
      </c>
      <c r="B14" s="4" t="n">
        <v>50</v>
      </c>
      <c r="C14" s="4" t="n">
        <v>500</v>
      </c>
      <c r="D14" s="4" t="n">
        <v>2000</v>
      </c>
      <c r="E14" s="4" t="n">
        <v>10000</v>
      </c>
    </row>
    <row r="15">
      <c r="A15" t="inlineStr">
        <is>
          <t>14. Security &amp; audit (SCC Premium + Chronicle)</t>
        </is>
      </c>
      <c r="B15" s="4" t="n">
        <v>0</v>
      </c>
      <c r="C15" s="4" t="n">
        <v>2500</v>
      </c>
      <c r="D15" s="4" t="n">
        <v>6000</v>
      </c>
      <c r="E15" s="4" t="n">
        <v>18000</v>
      </c>
    </row>
    <row r="16">
      <c r="A16" t="inlineStr">
        <is>
          <t>15. DR / backup / cross-region</t>
        </is>
      </c>
      <c r="B16" s="4" t="n">
        <v>0</v>
      </c>
      <c r="C16" s="4" t="n">
        <v>1000</v>
      </c>
      <c r="D16" s="4" t="n">
        <v>3500</v>
      </c>
      <c r="E16" s="4" t="n">
        <v>14000</v>
      </c>
    </row>
    <row r="17">
      <c r="A17" t="inlineStr">
        <is>
          <t>16. Networking / Cloud Armor</t>
        </is>
      </c>
      <c r="B17" s="4" t="n">
        <v>0</v>
      </c>
      <c r="C17" s="4" t="n">
        <v>1500</v>
      </c>
      <c r="D17" s="4" t="n">
        <v>5500</v>
      </c>
      <c r="E17" s="4" t="n">
        <v>30000</v>
      </c>
    </row>
    <row r="18">
      <c r="A18" t="inlineStr">
        <is>
          <t>17. Tax &amp; regulatory compliance</t>
        </is>
      </c>
      <c r="B18" s="4" t="n">
        <v>0</v>
      </c>
      <c r="C18" s="4" t="n">
        <v>1800</v>
      </c>
      <c r="D18" s="4" t="n">
        <v>1800</v>
      </c>
      <c r="E18" s="4" t="n">
        <v>1800</v>
      </c>
    </row>
    <row r="19">
      <c r="A19" t="inlineStr">
        <is>
          <t>18. Agentic ops fabric (A1-A5)</t>
        </is>
      </c>
      <c r="B19" s="4" t="n">
        <v>0</v>
      </c>
      <c r="C19" s="4" t="n">
        <v>8000</v>
      </c>
      <c r="D19" s="4" t="n">
        <v>20000</v>
      </c>
      <c r="E19" s="4" t="n">
        <v>60000</v>
      </c>
    </row>
    <row r="20">
      <c r="A20" s="8" t="inlineStr">
        <is>
          <t>TOTAL monthly</t>
        </is>
      </c>
      <c r="B20" s="11">
        <f>SUM(B2:B19)</f>
        <v/>
      </c>
      <c r="C20" s="11">
        <f>SUM(C2:C19)</f>
        <v/>
      </c>
      <c r="D20" s="11">
        <f>SUM(D2:D19)</f>
        <v/>
      </c>
      <c r="E20" s="11">
        <f>SUM(E2:E19)</f>
        <v/>
      </c>
    </row>
    <row r="21">
      <c r="A21" s="9" t="inlineStr">
        <is>
          <t>ANNUALIZED</t>
        </is>
      </c>
      <c r="B21" s="12">
        <f>B20*12</f>
        <v/>
      </c>
      <c r="C21" s="12">
        <f>C20*12</f>
        <v/>
      </c>
      <c r="D21" s="12">
        <f>D20*12</f>
        <v/>
      </c>
      <c r="E21" s="12">
        <f>E20*12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4" customWidth="1" min="4" max="4"/>
    <col width="36" customWidth="1" min="5" max="5"/>
  </cols>
  <sheetData>
    <row r="1">
      <c r="A1" s="1" t="inlineStr">
        <is>
          <t>Component</t>
        </is>
      </c>
      <c r="B1" s="1" t="inlineStr">
        <is>
          <t>Best ($)</t>
        </is>
      </c>
      <c r="C1" s="1" t="inlineStr">
        <is>
          <t>Expected ($)</t>
        </is>
      </c>
      <c r="D1" s="1" t="inlineStr">
        <is>
          <t>Worst ($)</t>
        </is>
      </c>
      <c r="E1" s="1" t="inlineStr">
        <is>
          <t>Source</t>
        </is>
      </c>
    </row>
    <row r="2">
      <c r="A2" t="inlineStr">
        <is>
          <t>ISO 27001 — 15 critical-mass controls remediation</t>
        </is>
      </c>
      <c r="B2" s="6" t="n">
        <v>80000</v>
      </c>
      <c r="C2" s="6" t="n">
        <v>104000</v>
      </c>
      <c r="D2" s="6" t="n">
        <v>140000</v>
      </c>
      <c r="E2" t="inlineStr">
        <is>
          <t>diligence/rapidpos/02; 520 hrs × $200, ±35%</t>
        </is>
      </c>
    </row>
    <row r="3">
      <c r="A3" t="inlineStr">
        <is>
          <t>ISO 27001 — remaining 78 controls remediation</t>
        </is>
      </c>
      <c r="B3" s="6" t="n">
        <v>180000</v>
      </c>
      <c r="C3" s="6" t="n">
        <v>233000</v>
      </c>
      <c r="D3" s="6" t="n">
        <v>310000</v>
      </c>
      <c r="E3" t="inlineStr">
        <is>
          <t>diligence/rapidpos/02; ~1,164 hrs</t>
        </is>
      </c>
    </row>
    <row r="4">
      <c r="A4" t="inlineStr">
        <is>
          <t>ISMS framework (policy + governance)</t>
        </is>
      </c>
      <c r="B4" s="6" t="n">
        <v>30000</v>
      </c>
      <c r="C4" s="6" t="n">
        <v>60000</v>
      </c>
      <c r="D4" s="6" t="n">
        <v>100000</v>
      </c>
      <c r="E4" t="inlineStr">
        <is>
          <t>200-400 hrs</t>
        </is>
      </c>
    </row>
    <row r="5">
      <c r="A5" t="inlineStr">
        <is>
          <t>Stage 1 + Stage 2 audit fees</t>
        </is>
      </c>
      <c r="B5" s="6" t="n">
        <v>20000</v>
      </c>
      <c r="C5" s="6" t="n">
        <v>35000</v>
      </c>
      <c r="D5" s="6" t="n">
        <v>50000</v>
      </c>
      <c r="E5" t="inlineStr">
        <is>
          <t>industry range</t>
        </is>
      </c>
    </row>
    <row r="6">
      <c r="A6" t="inlineStr">
        <is>
          <t>Surveillance audit (Y2-3 ongoing)</t>
        </is>
      </c>
      <c r="B6" s="6" t="n">
        <v>20000</v>
      </c>
      <c r="C6" s="6" t="n">
        <v>30000</v>
      </c>
      <c r="D6" s="6" t="n">
        <v>40000</v>
      </c>
      <c r="E6" t="inlineStr">
        <is>
          <t>annual × 2 yrs</t>
        </is>
      </c>
    </row>
    <row r="7">
      <c r="A7" t="inlineStr">
        <is>
          <t>ILDWAC conversion (across cohorts)</t>
        </is>
      </c>
      <c r="B7" s="6">
        <f>ildwac_lift!G5*0.7</f>
        <v/>
      </c>
      <c r="C7" s="6">
        <f>ildwac_lift!G5</f>
        <v/>
      </c>
      <c r="D7" s="6">
        <f>ildwac_lift!G5*1.4</f>
        <v/>
      </c>
      <c r="E7" t="inlineStr">
        <is>
          <t>ildwac_lift sheet</t>
        </is>
      </c>
    </row>
    <row r="8">
      <c r="A8" t="inlineStr">
        <is>
          <t>CRDM mapping (across cohorts)</t>
        </is>
      </c>
      <c r="B8" s="6">
        <f>crdm_lift!G5*0.7</f>
        <v/>
      </c>
      <c r="C8" s="6">
        <f>crdm_lift!G5</f>
        <v/>
      </c>
      <c r="D8" s="6">
        <f>crdm_lift!G5*1.4</f>
        <v/>
      </c>
      <c r="E8" t="inlineStr">
        <is>
          <t>crdm_lift sheet</t>
        </is>
      </c>
    </row>
    <row r="9">
      <c r="A9" t="inlineStr">
        <is>
          <t>GCP infra (T1 annualized × 18 months)</t>
        </is>
      </c>
      <c r="B9" s="6">
        <f>gcp_infra!C22*1.5</f>
        <v/>
      </c>
      <c r="C9" s="6">
        <f>gcp_infra!C22*1.5</f>
        <v/>
      </c>
      <c r="D9" s="6">
        <f>gcp_infra!C22*1.5</f>
        <v/>
      </c>
      <c r="E9" t="inlineStr">
        <is>
          <t>gcp_infra sheet T1 col</t>
        </is>
      </c>
    </row>
    <row r="10">
      <c r="A10" t="inlineStr">
        <is>
          <t>Day-1 agentic ops compute (Phase A)</t>
        </is>
      </c>
      <c r="B10" s="6" t="n">
        <v>36000</v>
      </c>
      <c r="C10" s="6" t="n">
        <v>48000</v>
      </c>
      <c r="D10" s="6" t="n">
        <v>72000</v>
      </c>
      <c r="E10" t="inlineStr">
        <is>
          <t>$8k/mo × 6 mo</t>
        </is>
      </c>
    </row>
    <row r="11">
      <c r="A11" t="inlineStr">
        <is>
          <t>Wyoming counsel (entity formation + ongoing)</t>
        </is>
      </c>
      <c r="B11" s="6" t="n">
        <v>25000</v>
      </c>
      <c r="C11" s="6" t="n">
        <v>45000</v>
      </c>
      <c r="D11" s="6" t="n">
        <v>80000</v>
      </c>
      <c r="E11" t="inlineStr">
        <is>
          <t>Phase 1 + Phase 2 hourly</t>
        </is>
      </c>
    </row>
    <row r="12">
      <c r="A12" t="inlineStr">
        <is>
          <t>Compliance-architecture lead role (Y1)</t>
        </is>
      </c>
      <c r="B12" s="6" t="n">
        <v>80000</v>
      </c>
      <c r="C12" s="6" t="n">
        <v>120000</v>
      </c>
      <c r="D12" s="6" t="n">
        <v>180000</v>
      </c>
      <c r="E12" t="inlineStr">
        <is>
          <t>cash component for runway</t>
        </is>
      </c>
    </row>
    <row r="13">
      <c r="A13" t="inlineStr">
        <is>
          <t>Engineering team retention pool (RapidPOS senior eng)</t>
        </is>
      </c>
      <c r="B13" s="6" t="n">
        <v>100000</v>
      </c>
      <c r="C13" s="6" t="n">
        <v>200000</v>
      </c>
      <c r="D13" s="6" t="n">
        <v>350000</v>
      </c>
      <c r="E13" t="inlineStr">
        <is>
          <t>retention-package estimate</t>
        </is>
      </c>
    </row>
    <row r="14">
      <c r="A14" s="8" t="inlineStr">
        <is>
          <t>TOTAL Phase A+B (18mo program)</t>
        </is>
      </c>
      <c r="B14" s="13">
        <f>SUM(B2:B13)</f>
        <v/>
      </c>
      <c r="C14" s="13">
        <f>SUM(C2:C13)</f>
        <v/>
      </c>
      <c r="D14" s="13">
        <f>SUM(D2:D13)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30" customWidth="1" min="4" max="4"/>
    <col width="32" customWidth="1" min="5" max="5"/>
  </cols>
  <sheetData>
    <row r="1">
      <c r="A1" s="1" t="inlineStr">
        <is>
          <t>Month</t>
        </is>
      </c>
      <c r="B1" s="1" t="inlineStr">
        <is>
          <t>Phase</t>
        </is>
      </c>
      <c r="C1" s="1" t="inlineStr">
        <is>
          <t>Milestone</t>
        </is>
      </c>
      <c r="D1" s="1" t="inlineStr">
        <is>
          <t>Cohort wave</t>
        </is>
      </c>
      <c r="E1" s="1" t="inlineStr">
        <is>
          <t>Compliance gate</t>
        </is>
      </c>
    </row>
    <row r="2">
      <c r="A2" t="inlineStr">
        <is>
          <t>M1</t>
        </is>
      </c>
      <c r="B2" t="inlineStr">
        <is>
          <t>A</t>
        </is>
      </c>
      <c r="C2" t="inlineStr">
        <is>
          <t>Acquisition close OR channel-partnership executed</t>
        </is>
      </c>
      <c r="D2" t="inlineStr">
        <is>
          <t>—</t>
        </is>
      </c>
      <c r="E2" t="inlineStr">
        <is>
          <t>Day-1 agentic ops deployed</t>
        </is>
      </c>
    </row>
    <row r="3">
      <c r="A3" t="inlineStr">
        <is>
          <t>M3</t>
        </is>
      </c>
      <c r="B3" t="inlineStr">
        <is>
          <t>A</t>
        </is>
      </c>
      <c r="C3" t="inlineStr">
        <is>
          <t>8 of 15 critical-mass controls remediated; sandbox infra live</t>
        </is>
      </c>
      <c r="D3" t="inlineStr">
        <is>
          <t>—</t>
        </is>
      </c>
      <c r="E3" t="inlineStr">
        <is>
          <t>Internal review</t>
        </is>
      </c>
    </row>
    <row r="4">
      <c r="A4" t="inlineStr">
        <is>
          <t>M6</t>
        </is>
      </c>
      <c r="B4" t="inlineStr">
        <is>
          <t>A</t>
        </is>
      </c>
      <c r="C4" t="inlineStr">
        <is>
          <t>All 15 critical-mass controls remediated; sandbox DriftPOS live</t>
        </is>
      </c>
      <c r="D4" t="inlineStr">
        <is>
          <t>Eager cohort identified</t>
        </is>
      </c>
      <c r="E4" t="inlineStr">
        <is>
          <t>Pre-Stage-1 dry run</t>
        </is>
      </c>
    </row>
    <row r="5">
      <c r="A5" t="inlineStr">
        <is>
          <t>M9</t>
        </is>
      </c>
      <c r="B5" t="inlineStr">
        <is>
          <t>B</t>
        </is>
      </c>
      <c r="C5" t="inlineStr">
        <is>
          <t>ISO Stage 1 audit clean; first eager-cohort customer in sandbox</t>
        </is>
      </c>
      <c r="D5" t="inlineStr">
        <is>
          <t>Eager wave 1 begins</t>
        </is>
      </c>
      <c r="E5" t="inlineStr">
        <is>
          <t>Stage 1 sign-off</t>
        </is>
      </c>
    </row>
    <row r="6">
      <c r="A6" t="inlineStr">
        <is>
          <t>M12</t>
        </is>
      </c>
      <c r="B6" t="inlineStr">
        <is>
          <t>B</t>
        </is>
      </c>
      <c r="C6" t="inlineStr">
        <is>
          <t>DriftPOS GA; eager-cohort wave 1 in production</t>
        </is>
      </c>
      <c r="D6" t="inlineStr">
        <is>
          <t>Eager wave 1 in prod</t>
        </is>
      </c>
      <c r="E6" t="inlineStr">
        <is>
          <t>Stage 2 observation triggered</t>
        </is>
      </c>
    </row>
    <row r="7">
      <c r="A7" t="inlineStr">
        <is>
          <t>M15</t>
        </is>
      </c>
      <c r="B7" t="inlineStr">
        <is>
          <t>B</t>
        </is>
      </c>
      <c r="C7" t="inlineStr">
        <is>
          <t>Eager-cohort wave 2 underway; steady cohort begins</t>
        </is>
      </c>
      <c r="D7" t="inlineStr">
        <is>
          <t>Steady cohort begins</t>
        </is>
      </c>
      <c r="E7" t="inlineStr">
        <is>
          <t>Stage 2 observation in progress</t>
        </is>
      </c>
    </row>
    <row r="8">
      <c r="A8" t="inlineStr">
        <is>
          <t>M18</t>
        </is>
      </c>
      <c r="B8" t="inlineStr">
        <is>
          <t>B</t>
        </is>
      </c>
      <c r="C8" t="inlineStr">
        <is>
          <t>ISO 27001 certified; eager-cohort fully migrated</t>
        </is>
      </c>
      <c r="D8" t="inlineStr">
        <is>
          <t>Steady cohort migrating</t>
        </is>
      </c>
      <c r="E8" t="inlineStr">
        <is>
          <t>Certificate issued</t>
        </is>
      </c>
    </row>
    <row r="9">
      <c r="A9" t="inlineStr">
        <is>
          <t>M24</t>
        </is>
      </c>
      <c r="B9" t="inlineStr">
        <is>
          <t>C</t>
        </is>
      </c>
      <c r="C9" t="inlineStr">
        <is>
          <t>Steady cohort migration complete; new-logo wins</t>
        </is>
      </c>
      <c r="D9" t="inlineStr">
        <is>
          <t>New-logo wave begins</t>
        </is>
      </c>
      <c r="E9" t="inlineStr">
        <is>
          <t>SOC 2 Type II observation start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36" customWidth="1" min="4" max="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Used in</t>
        </is>
      </c>
      <c r="D1" s="1" t="inlineStr">
        <is>
          <t>Notes</t>
        </is>
      </c>
    </row>
    <row r="2">
      <c r="A2" t="inlineStr">
        <is>
          <t>Engineering hourly rate</t>
        </is>
      </c>
      <c r="B2" s="2" t="n">
        <v>200</v>
      </c>
      <c r="C2" t="inlineStr">
        <is>
          <t>ildwac_lift, crdm_lift, program_cost</t>
        </is>
      </c>
      <c r="D2" t="inlineStr">
        <is>
          <t>Internal blended</t>
        </is>
      </c>
    </row>
    <row r="3">
      <c r="A3" t="inlineStr">
        <is>
          <t>Compliance-pressure factor (gap-to-discount)</t>
        </is>
      </c>
      <c r="B3" s="14" t="n">
        <v>0.7</v>
      </c>
      <c r="C3" t="inlineStr">
        <is>
          <t>valuation contexts</t>
        </is>
      </c>
      <c r="D3" t="inlineStr">
        <is>
          <t>Range 0.5 (theoretical) - 1.0 (acute)</t>
        </is>
      </c>
    </row>
    <row r="4">
      <c r="A4" t="inlineStr">
        <is>
          <t>Lineage-decay coefficient α (substrate)</t>
        </is>
      </c>
      <c r="B4" s="14" t="n">
        <v>0.5</v>
      </c>
      <c r="C4" t="inlineStr">
        <is>
          <t>substrate governance</t>
        </is>
      </c>
      <c r="D4" t="inlineStr">
        <is>
          <t>Per namespace; default 0.5</t>
        </is>
      </c>
    </row>
    <row r="5">
      <c r="A5" t="inlineStr">
        <is>
          <t>Phase 1 founder-mint duration (months)</t>
        </is>
      </c>
      <c r="B5" s="2" t="n">
        <v>18</v>
      </c>
      <c r="C5" t="inlineStr">
        <is>
          <t>substrate phase mechanics</t>
        </is>
      </c>
      <c r="D5" t="inlineStr">
        <is>
          <t>Per bylaws</t>
        </is>
      </c>
    </row>
    <row r="6">
      <c r="A6" t="inlineStr">
        <is>
          <t>Eager-cohort fraction of customer base</t>
        </is>
      </c>
      <c r="B6" s="2">
        <f>customers!C2</f>
        <v/>
      </c>
      <c r="C6" t="inlineStr">
        <is>
          <t>cost-model sizing</t>
        </is>
      </c>
      <c r="D6" t="inlineStr">
        <is>
          <t>Live link to customers tab</t>
        </is>
      </c>
    </row>
    <row r="7">
      <c r="A7" t="inlineStr">
        <is>
          <t>Steady-cohort fraction</t>
        </is>
      </c>
      <c r="B7" s="2">
        <f>customers!C3</f>
        <v/>
      </c>
      <c r="C7" t="inlineStr">
        <is>
          <t>cost-model sizing</t>
        </is>
      </c>
      <c r="D7" t="inlineStr">
        <is>
          <t>Live link</t>
        </is>
      </c>
    </row>
    <row r="8">
      <c r="A8" t="inlineStr">
        <is>
          <t>Laggard fraction</t>
        </is>
      </c>
      <c r="B8" s="2">
        <f>customers!C4</f>
        <v/>
      </c>
      <c r="C8" t="inlineStr">
        <is>
          <t>cost-model sizing</t>
        </is>
      </c>
      <c r="D8" t="inlineStr">
        <is>
          <t>Live link</t>
        </is>
      </c>
    </row>
    <row r="9">
      <c r="A9" t="inlineStr">
        <is>
          <t>ISO 27001 critical-mass control count</t>
        </is>
      </c>
      <c r="B9" s="2" t="n">
        <v>15</v>
      </c>
      <c r="C9" t="inlineStr">
        <is>
          <t>DriftPOS-blocking gate</t>
        </is>
      </c>
      <c r="D9" t="inlineStr">
        <is>
          <t>Per saas-acquisition-diligence skill ref/07</t>
        </is>
      </c>
    </row>
    <row r="10">
      <c r="A10" t="inlineStr">
        <is>
          <t>ISO 27001 total Annex A control count</t>
        </is>
      </c>
      <c r="B10" s="2" t="n">
        <v>93</v>
      </c>
      <c r="C10" t="inlineStr">
        <is>
          <t>full audit scope</t>
        </is>
      </c>
      <c r="D10" t="inlineStr">
        <is>
          <t>ISO 27001:2022 standard</t>
        </is>
      </c>
    </row>
    <row r="11">
      <c r="A11" t="inlineStr">
        <is>
          <t>Hours per critical-mass ISO control (avg)</t>
        </is>
      </c>
      <c r="B11" s="2" t="n">
        <v>35</v>
      </c>
      <c r="C11" t="inlineStr">
        <is>
          <t>remediation sizing</t>
        </is>
      </c>
      <c r="D11" t="inlineStr">
        <is>
          <t>520 / 15</t>
        </is>
      </c>
    </row>
    <row r="12">
      <c r="A12" t="inlineStr">
        <is>
          <t>GCP T1 monthly aggregate ($)</t>
        </is>
      </c>
      <c r="B12" s="2">
        <f>gcp_infra!C22</f>
        <v/>
      </c>
      <c r="C12" t="inlineStr">
        <is>
          <t>annualized run-rate</t>
        </is>
      </c>
      <c r="D12" t="inlineStr">
        <is>
          <t>Live from gcp_infra</t>
        </is>
      </c>
    </row>
    <row r="13">
      <c r="A13" t="inlineStr">
        <is>
          <t>Program duration Phase A+B (months)</t>
        </is>
      </c>
      <c r="B13" s="2" t="n">
        <v>18</v>
      </c>
      <c r="C13" t="inlineStr">
        <is>
          <t>program_cost summation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2026-05-04T05:18:30Z</dcterms:created>
  <dcterms:modified xmlns:dcterms="http://purl.org/dc/terms/" xmlns:xsi="http://www.w3.org/2001/XMLSchema-instance" xsi:type="dcterms:W3CDTF">2026-05-04T05:18:30Z</dcterms:modified>
</cp:coreProperties>
</file>