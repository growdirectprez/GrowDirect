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off\Documents\"/>
    </mc:Choice>
  </mc:AlternateContent>
  <bookViews>
    <workbookView xWindow="0" yWindow="0" windowWidth="11670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8" i="1" l="1"/>
  <c r="C56" i="1"/>
  <c r="C55" i="1"/>
  <c r="C51" i="1"/>
  <c r="C52" i="1" s="1"/>
  <c r="C50" i="1"/>
  <c r="C48" i="1"/>
  <c r="C7" i="1"/>
  <c r="C46" i="1" s="1"/>
</calcChain>
</file>

<file path=xl/sharedStrings.xml><?xml version="1.0" encoding="utf-8"?>
<sst xmlns="http://schemas.openxmlformats.org/spreadsheetml/2006/main" count="96" uniqueCount="56">
  <si>
    <t>Home Pipe &amp; Supply</t>
  </si>
  <si>
    <t>Supplier</t>
  </si>
  <si>
    <t>Expense</t>
  </si>
  <si>
    <t>Amount</t>
  </si>
  <si>
    <t>Allen Wix</t>
  </si>
  <si>
    <t>Architect</t>
  </si>
  <si>
    <t>Plumming Fixtures and Tub</t>
  </si>
  <si>
    <t>Frys</t>
  </si>
  <si>
    <t>Cat 6 Wire</t>
  </si>
  <si>
    <t>Home Depot</t>
  </si>
  <si>
    <t>Paint Misc</t>
  </si>
  <si>
    <t>Rough Valves</t>
  </si>
  <si>
    <t>Water Heater Permit</t>
  </si>
  <si>
    <t>City of RPV</t>
  </si>
  <si>
    <t>JB Electrical</t>
  </si>
  <si>
    <t>Panel Upgrade</t>
  </si>
  <si>
    <t>misc</t>
  </si>
  <si>
    <t>Dumpster</t>
  </si>
  <si>
    <t>Waste Management</t>
  </si>
  <si>
    <t>Plan Check Fee</t>
  </si>
  <si>
    <t>Dennis LaCharite</t>
  </si>
  <si>
    <t>Invoice 7115 pt2 and B</t>
  </si>
  <si>
    <t>Change Order</t>
  </si>
  <si>
    <t>Invoice 7115 pt1</t>
  </si>
  <si>
    <t>Remodel Permit</t>
  </si>
  <si>
    <t>Lowes</t>
  </si>
  <si>
    <t>Date</t>
  </si>
  <si>
    <t>Painting</t>
  </si>
  <si>
    <t>Edwardo</t>
  </si>
  <si>
    <t>Demo</t>
  </si>
  <si>
    <t>South Shores Ace</t>
  </si>
  <si>
    <t>Dunn Edwards</t>
  </si>
  <si>
    <t>Concrete Expoxy</t>
  </si>
  <si>
    <t>Fan Mounting</t>
  </si>
  <si>
    <t>Power Washer Supplies</t>
  </si>
  <si>
    <t>Fedex Office</t>
  </si>
  <si>
    <t>Plan Copy</t>
  </si>
  <si>
    <t>Big Ass Fan</t>
  </si>
  <si>
    <t>Garage Lighting</t>
  </si>
  <si>
    <t>Gilt</t>
  </si>
  <si>
    <t>Lighting</t>
  </si>
  <si>
    <t>Toilet</t>
  </si>
  <si>
    <t>Washing Machine Repair</t>
  </si>
  <si>
    <t>Electrical Supplies</t>
  </si>
  <si>
    <t>Misc / Paint</t>
  </si>
  <si>
    <t>Floor Cleaning</t>
  </si>
  <si>
    <t>Purchase Price</t>
  </si>
  <si>
    <t>Total Cost Basis</t>
  </si>
  <si>
    <t>Loan Balance</t>
  </si>
  <si>
    <t>Equity</t>
  </si>
  <si>
    <t>LV Ratio</t>
  </si>
  <si>
    <t>Sweat Equity (Total Cost of improvments x 3)</t>
  </si>
  <si>
    <t>Appreciation (Purchase Price + Total Improvments x .03)</t>
  </si>
  <si>
    <t>Total Improvements:</t>
  </si>
  <si>
    <t>Current Value (Purchase Price + Sweat Equity + Appeciation)</t>
  </si>
  <si>
    <t>Available to Borrow (up to 80% LV)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</si>
</sst>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3" xfId="0" applyBorder="1"/>
    <xf numFmtId="0" fontId="0" fillId="0" borderId="3" xfId="0" applyFill="1" applyBorder="1"/>
    <xf numFmtId="16" fontId="0" fillId="0" borderId="1" xfId="0" applyNumberFormat="1" applyBorder="1"/>
    <xf numFmtId="16" fontId="0" fillId="0" borderId="3" xfId="0" applyNumberFormat="1" applyBorder="1"/>
    <xf numFmtId="44" fontId="0" fillId="2" borderId="2" xfId="1" applyFont="1" applyFill="1" applyBorder="1"/>
    <xf numFmtId="44" fontId="0" fillId="0" borderId="1" xfId="1" applyFont="1" applyBorder="1"/>
    <xf numFmtId="44" fontId="0" fillId="0" borderId="1" xfId="1" applyFont="1" applyFill="1" applyBorder="1"/>
    <xf numFmtId="44" fontId="2" fillId="0" borderId="1" xfId="1" applyFont="1" applyBorder="1"/>
    <xf numFmtId="44" fontId="0" fillId="0" borderId="3" xfId="1" applyFont="1" applyFill="1" applyBorder="1"/>
    <xf numFmtId="44" fontId="0" fillId="0" borderId="0" xfId="1" applyFont="1"/>
    <xf numFmtId="0" fontId="0" fillId="2" borderId="4" xfId="0" applyFill="1" applyBorder="1"/>
    <xf numFmtId="44" fontId="0" fillId="2" borderId="5" xfId="1" applyFont="1" applyFill="1" applyBorder="1"/>
    <xf numFmtId="0" fontId="0" fillId="2" borderId="6" xfId="0" applyFill="1" applyBorder="1"/>
    <xf numFmtId="0" fontId="0" fillId="2" borderId="5" xfId="0" applyFill="1" applyBorder="1" applyAlignment="1">
      <alignment horizontal="right"/>
    </xf>
    <xf numFmtId="9" fontId="0" fillId="0" borderId="0" xfId="2" applyFont="1"/>
    <xf numFmtId="0" fontId="0" fillId="0" borderId="0" xfId="0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topLeftCell="A37" workbookViewId="0">
      <selection activeCell="C46" sqref="C46"/>
    </sheetView>
  </sheetViews>
  <sheetFormatPr defaultRowHeight="15" x14ac:dyDescent="0.25"/>
  <cols>
    <col min="1" max="1" width="23.42578125" customWidth="1"/>
    <col min="2" max="2" width="28.85546875" customWidth="1"/>
    <col min="3" max="3" width="15.85546875" style="13" customWidth="1"/>
    <col min="4" max="4" width="11.85546875" customWidth="1"/>
  </cols>
  <sheetData>
    <row r="1" spans="1:4" x14ac:dyDescent="0.25">
      <c r="A1" s="2" t="s">
        <v>1</v>
      </c>
      <c r="B1" s="2" t="s">
        <v>2</v>
      </c>
      <c r="C1" s="8" t="s">
        <v>3</v>
      </c>
      <c r="D1" s="2" t="s">
        <v>26</v>
      </c>
    </row>
    <row r="2" spans="1:4" x14ac:dyDescent="0.25">
      <c r="A2" s="3" t="s">
        <v>18</v>
      </c>
      <c r="B2" s="3" t="s">
        <v>17</v>
      </c>
      <c r="C2" s="9">
        <v>1073.58</v>
      </c>
      <c r="D2" s="6">
        <v>42094</v>
      </c>
    </row>
    <row r="3" spans="1:4" x14ac:dyDescent="0.25">
      <c r="A3" s="1" t="s">
        <v>28</v>
      </c>
      <c r="B3" s="1" t="s">
        <v>29</v>
      </c>
      <c r="C3" s="10">
        <v>430</v>
      </c>
      <c r="D3" s="6">
        <v>42095</v>
      </c>
    </row>
    <row r="4" spans="1:4" x14ac:dyDescent="0.25">
      <c r="A4" s="1" t="s">
        <v>28</v>
      </c>
      <c r="B4" s="1" t="s">
        <v>29</v>
      </c>
      <c r="C4" s="10">
        <v>430</v>
      </c>
      <c r="D4" s="6">
        <v>42096</v>
      </c>
    </row>
    <row r="5" spans="1:4" x14ac:dyDescent="0.25">
      <c r="A5" s="1" t="s">
        <v>28</v>
      </c>
      <c r="B5" s="1" t="s">
        <v>29</v>
      </c>
      <c r="C5" s="10">
        <v>430</v>
      </c>
      <c r="D5" s="6">
        <v>42097</v>
      </c>
    </row>
    <row r="6" spans="1:4" x14ac:dyDescent="0.25">
      <c r="A6" s="1" t="s">
        <v>9</v>
      </c>
      <c r="B6" s="1" t="s">
        <v>45</v>
      </c>
      <c r="C6" s="10">
        <v>37.35</v>
      </c>
      <c r="D6" s="6">
        <v>42105</v>
      </c>
    </row>
    <row r="7" spans="1:4" x14ac:dyDescent="0.25">
      <c r="A7" s="1" t="s">
        <v>9</v>
      </c>
      <c r="B7" s="1" t="s">
        <v>45</v>
      </c>
      <c r="C7" s="10">
        <f>-67.88-20.61</f>
        <v>-88.49</v>
      </c>
      <c r="D7" s="6">
        <v>42106</v>
      </c>
    </row>
    <row r="8" spans="1:4" x14ac:dyDescent="0.25">
      <c r="A8" s="1" t="s">
        <v>9</v>
      </c>
      <c r="B8" s="1" t="s">
        <v>45</v>
      </c>
      <c r="C8" s="10">
        <v>38.6</v>
      </c>
      <c r="D8" s="6">
        <v>42106</v>
      </c>
    </row>
    <row r="9" spans="1:4" x14ac:dyDescent="0.25">
      <c r="A9" s="1" t="s">
        <v>9</v>
      </c>
      <c r="B9" s="1" t="s">
        <v>45</v>
      </c>
      <c r="C9" s="10">
        <v>40.36</v>
      </c>
      <c r="D9" s="6">
        <v>42107</v>
      </c>
    </row>
    <row r="10" spans="1:4" x14ac:dyDescent="0.25">
      <c r="A10" s="3" t="s">
        <v>25</v>
      </c>
      <c r="B10" s="3" t="s">
        <v>16</v>
      </c>
      <c r="C10" s="9">
        <v>45.93</v>
      </c>
      <c r="D10" s="6">
        <v>42108</v>
      </c>
    </row>
    <row r="11" spans="1:4" x14ac:dyDescent="0.25">
      <c r="A11" s="1" t="s">
        <v>9</v>
      </c>
      <c r="B11" s="1" t="s">
        <v>45</v>
      </c>
      <c r="C11" s="10">
        <v>152.12</v>
      </c>
      <c r="D11" s="6">
        <v>42108</v>
      </c>
    </row>
    <row r="12" spans="1:4" x14ac:dyDescent="0.25">
      <c r="A12" s="3" t="s">
        <v>18</v>
      </c>
      <c r="B12" s="3" t="s">
        <v>17</v>
      </c>
      <c r="C12" s="9">
        <v>1155.96</v>
      </c>
      <c r="D12" s="6">
        <v>42138</v>
      </c>
    </row>
    <row r="13" spans="1:4" x14ac:dyDescent="0.25">
      <c r="A13" s="1" t="s">
        <v>25</v>
      </c>
      <c r="B13" s="1" t="s">
        <v>16</v>
      </c>
      <c r="C13" s="10">
        <v>81.12</v>
      </c>
      <c r="D13" s="6">
        <v>42149</v>
      </c>
    </row>
    <row r="14" spans="1:4" x14ac:dyDescent="0.25">
      <c r="A14" s="3" t="s">
        <v>13</v>
      </c>
      <c r="B14" s="3" t="s">
        <v>19</v>
      </c>
      <c r="C14" s="9">
        <v>912.78</v>
      </c>
      <c r="D14" s="6">
        <v>42157</v>
      </c>
    </row>
    <row r="15" spans="1:4" x14ac:dyDescent="0.25">
      <c r="A15" s="1" t="s">
        <v>35</v>
      </c>
      <c r="B15" s="1" t="s">
        <v>36</v>
      </c>
      <c r="C15" s="10">
        <v>9.81</v>
      </c>
      <c r="D15" s="6">
        <v>42162</v>
      </c>
    </row>
    <row r="16" spans="1:4" x14ac:dyDescent="0.25">
      <c r="A16" s="3" t="s">
        <v>9</v>
      </c>
      <c r="B16" s="3" t="s">
        <v>16</v>
      </c>
      <c r="C16" s="9">
        <v>65.36</v>
      </c>
      <c r="D16" s="6">
        <v>42168</v>
      </c>
    </row>
    <row r="17" spans="1:4" x14ac:dyDescent="0.25">
      <c r="A17" s="1" t="s">
        <v>9</v>
      </c>
      <c r="B17" s="1" t="s">
        <v>44</v>
      </c>
      <c r="C17" s="10">
        <v>726.79</v>
      </c>
      <c r="D17" s="6">
        <v>42168</v>
      </c>
    </row>
    <row r="18" spans="1:4" x14ac:dyDescent="0.25">
      <c r="A18" s="1" t="s">
        <v>9</v>
      </c>
      <c r="B18" s="1" t="s">
        <v>44</v>
      </c>
      <c r="C18" s="10">
        <v>934.79</v>
      </c>
      <c r="D18" s="6">
        <v>42168</v>
      </c>
    </row>
    <row r="19" spans="1:4" x14ac:dyDescent="0.25">
      <c r="A19" s="1" t="s">
        <v>9</v>
      </c>
      <c r="B19" s="1" t="s">
        <v>44</v>
      </c>
      <c r="C19" s="10">
        <v>-561.70000000000005</v>
      </c>
      <c r="D19" s="6">
        <v>42168</v>
      </c>
    </row>
    <row r="20" spans="1:4" x14ac:dyDescent="0.25">
      <c r="A20" s="3" t="s">
        <v>14</v>
      </c>
      <c r="B20" s="3" t="s">
        <v>15</v>
      </c>
      <c r="C20" s="9">
        <v>2100</v>
      </c>
      <c r="D20" s="6">
        <v>42169</v>
      </c>
    </row>
    <row r="21" spans="1:4" x14ac:dyDescent="0.25">
      <c r="A21" s="1" t="s">
        <v>9</v>
      </c>
      <c r="B21" s="1" t="s">
        <v>44</v>
      </c>
      <c r="C21" s="10">
        <v>314.55</v>
      </c>
      <c r="D21" s="6">
        <v>42169</v>
      </c>
    </row>
    <row r="22" spans="1:4" x14ac:dyDescent="0.25">
      <c r="A22" s="3" t="s">
        <v>9</v>
      </c>
      <c r="B22" s="3" t="s">
        <v>16</v>
      </c>
      <c r="C22" s="9">
        <v>160.71</v>
      </c>
      <c r="D22" s="6">
        <v>42170</v>
      </c>
    </row>
    <row r="23" spans="1:4" x14ac:dyDescent="0.25">
      <c r="A23" s="3" t="s">
        <v>13</v>
      </c>
      <c r="B23" s="3" t="s">
        <v>24</v>
      </c>
      <c r="C23" s="9">
        <v>2622.33</v>
      </c>
      <c r="D23" s="6">
        <v>42170</v>
      </c>
    </row>
    <row r="24" spans="1:4" x14ac:dyDescent="0.25">
      <c r="A24" s="3" t="s">
        <v>20</v>
      </c>
      <c r="B24" s="3" t="s">
        <v>23</v>
      </c>
      <c r="C24" s="9">
        <v>8565.2999999999993</v>
      </c>
      <c r="D24" s="6">
        <v>42172</v>
      </c>
    </row>
    <row r="25" spans="1:4" x14ac:dyDescent="0.25">
      <c r="A25" s="3" t="s">
        <v>13</v>
      </c>
      <c r="B25" s="3" t="s">
        <v>12</v>
      </c>
      <c r="C25" s="9">
        <v>231</v>
      </c>
      <c r="D25" s="6">
        <v>42173</v>
      </c>
    </row>
    <row r="26" spans="1:4" x14ac:dyDescent="0.25">
      <c r="A26" s="1" t="s">
        <v>28</v>
      </c>
      <c r="B26" s="1" t="s">
        <v>27</v>
      </c>
      <c r="C26" s="10">
        <v>860</v>
      </c>
      <c r="D26" s="6">
        <v>42173</v>
      </c>
    </row>
    <row r="27" spans="1:4" x14ac:dyDescent="0.25">
      <c r="A27" s="1" t="s">
        <v>9</v>
      </c>
      <c r="B27" s="1" t="s">
        <v>43</v>
      </c>
      <c r="C27" s="10">
        <v>373.02</v>
      </c>
      <c r="D27" s="6">
        <v>42175</v>
      </c>
    </row>
    <row r="28" spans="1:4" x14ac:dyDescent="0.25">
      <c r="A28" s="1" t="s">
        <v>37</v>
      </c>
      <c r="B28" s="1" t="s">
        <v>38</v>
      </c>
      <c r="C28" s="10">
        <v>391.32</v>
      </c>
      <c r="D28" s="6">
        <v>42176</v>
      </c>
    </row>
    <row r="29" spans="1:4" x14ac:dyDescent="0.25">
      <c r="A29" s="1" t="s">
        <v>30</v>
      </c>
      <c r="B29" s="1" t="s">
        <v>42</v>
      </c>
      <c r="C29" s="10">
        <v>66.2</v>
      </c>
      <c r="D29" s="6">
        <v>42176</v>
      </c>
    </row>
    <row r="30" spans="1:4" x14ac:dyDescent="0.25">
      <c r="A30" s="3" t="s">
        <v>0</v>
      </c>
      <c r="B30" s="3" t="s">
        <v>11</v>
      </c>
      <c r="C30" s="9">
        <v>961.53</v>
      </c>
      <c r="D30" s="6">
        <v>42177</v>
      </c>
    </row>
    <row r="31" spans="1:4" x14ac:dyDescent="0.25">
      <c r="A31" s="3" t="s">
        <v>20</v>
      </c>
      <c r="B31" s="3" t="s">
        <v>22</v>
      </c>
      <c r="C31" s="9">
        <v>9284</v>
      </c>
      <c r="D31" s="6">
        <v>42177</v>
      </c>
    </row>
    <row r="32" spans="1:4" x14ac:dyDescent="0.25">
      <c r="A32" s="1" t="s">
        <v>39</v>
      </c>
      <c r="B32" s="1" t="s">
        <v>40</v>
      </c>
      <c r="C32" s="10">
        <v>2567.9499999999998</v>
      </c>
      <c r="D32" s="6">
        <v>42178</v>
      </c>
    </row>
    <row r="33" spans="1:4" x14ac:dyDescent="0.25">
      <c r="A33" s="1" t="s">
        <v>25</v>
      </c>
      <c r="B33" s="1" t="s">
        <v>41</v>
      </c>
      <c r="C33" s="10">
        <v>245.77</v>
      </c>
      <c r="D33" s="6">
        <v>42178</v>
      </c>
    </row>
    <row r="34" spans="1:4" x14ac:dyDescent="0.25">
      <c r="A34" s="3" t="s">
        <v>9</v>
      </c>
      <c r="B34" s="3" t="s">
        <v>10</v>
      </c>
      <c r="C34" s="9">
        <v>288.73</v>
      </c>
      <c r="D34" s="6">
        <v>42180</v>
      </c>
    </row>
    <row r="35" spans="1:4" x14ac:dyDescent="0.25">
      <c r="A35" s="1" t="s">
        <v>31</v>
      </c>
      <c r="B35" s="1" t="s">
        <v>32</v>
      </c>
      <c r="C35" s="10">
        <v>165.66</v>
      </c>
      <c r="D35" s="6">
        <v>42180</v>
      </c>
    </row>
    <row r="36" spans="1:4" x14ac:dyDescent="0.25">
      <c r="A36" s="1" t="s">
        <v>9</v>
      </c>
      <c r="B36" s="1" t="s">
        <v>16</v>
      </c>
      <c r="C36" s="10">
        <v>69.63</v>
      </c>
      <c r="D36" s="6">
        <v>42180</v>
      </c>
    </row>
    <row r="37" spans="1:4" x14ac:dyDescent="0.25">
      <c r="A37" s="1" t="s">
        <v>9</v>
      </c>
      <c r="B37" s="1" t="s">
        <v>33</v>
      </c>
      <c r="C37" s="10">
        <v>110.14</v>
      </c>
      <c r="D37" s="6">
        <v>42181</v>
      </c>
    </row>
    <row r="38" spans="1:4" x14ac:dyDescent="0.25">
      <c r="A38" s="1" t="s">
        <v>30</v>
      </c>
      <c r="B38" s="1" t="s">
        <v>34</v>
      </c>
      <c r="C38" s="10">
        <v>60.99</v>
      </c>
      <c r="D38" s="6">
        <v>42183</v>
      </c>
    </row>
    <row r="39" spans="1:4" x14ac:dyDescent="0.25">
      <c r="A39" s="3" t="s">
        <v>7</v>
      </c>
      <c r="B39" s="3" t="s">
        <v>8</v>
      </c>
      <c r="C39" s="9">
        <v>397.99</v>
      </c>
      <c r="D39" s="6">
        <v>42184</v>
      </c>
    </row>
    <row r="40" spans="1:4" x14ac:dyDescent="0.25">
      <c r="A40" s="3" t="s">
        <v>0</v>
      </c>
      <c r="B40" s="3" t="s">
        <v>6</v>
      </c>
      <c r="C40" s="11">
        <v>3028.86</v>
      </c>
      <c r="D40" s="6">
        <v>42185</v>
      </c>
    </row>
    <row r="41" spans="1:4" x14ac:dyDescent="0.25">
      <c r="A41" s="3" t="s">
        <v>4</v>
      </c>
      <c r="B41" s="3" t="s">
        <v>5</v>
      </c>
      <c r="C41" s="9">
        <v>1200</v>
      </c>
      <c r="D41" s="6">
        <v>42188</v>
      </c>
    </row>
    <row r="42" spans="1:4" x14ac:dyDescent="0.25">
      <c r="A42" s="3" t="s">
        <v>20</v>
      </c>
      <c r="B42" s="3" t="s">
        <v>21</v>
      </c>
      <c r="C42" s="9">
        <v>11351.3</v>
      </c>
      <c r="D42" s="6">
        <v>42191</v>
      </c>
    </row>
    <row r="43" spans="1:4" x14ac:dyDescent="0.25">
      <c r="A43" s="1"/>
      <c r="B43" s="1"/>
      <c r="C43" s="10"/>
      <c r="D43" s="6"/>
    </row>
    <row r="44" spans="1:4" x14ac:dyDescent="0.25">
      <c r="A44" s="1"/>
      <c r="B44" s="1"/>
      <c r="C44" s="10"/>
      <c r="D44" s="6"/>
    </row>
    <row r="45" spans="1:4" x14ac:dyDescent="0.25">
      <c r="A45" s="4"/>
      <c r="B45" s="5"/>
      <c r="C45" s="12"/>
      <c r="D45" s="7"/>
    </row>
    <row r="46" spans="1:4" x14ac:dyDescent="0.25">
      <c r="A46" s="14"/>
      <c r="B46" s="17" t="s">
        <v>53</v>
      </c>
      <c r="C46" s="15">
        <f>SUM(C2:C45)</f>
        <v>51331.34</v>
      </c>
      <c r="D46" s="16"/>
    </row>
    <row r="47" spans="1:4" x14ac:dyDescent="0.25">
      <c r="B47" t="s">
        <v>46</v>
      </c>
      <c r="C47" s="13">
        <v>1125000</v>
      </c>
    </row>
    <row r="48" spans="1:4" x14ac:dyDescent="0.25">
      <c r="B48" t="s">
        <v>47</v>
      </c>
      <c r="C48" s="13">
        <f>C47+C46</f>
        <v>1176331.3400000001</v>
      </c>
    </row>
    <row r="50" spans="2:3" x14ac:dyDescent="0.25">
      <c r="B50" s="19" t="s">
        <v>51</v>
      </c>
      <c r="C50" s="13">
        <f>C46*3</f>
        <v>153994.01999999999</v>
      </c>
    </row>
    <row r="51" spans="2:3" x14ac:dyDescent="0.25">
      <c r="B51" s="19" t="s">
        <v>52</v>
      </c>
      <c r="C51" s="13">
        <f>C48*0.03</f>
        <v>35289.940200000005</v>
      </c>
    </row>
    <row r="52" spans="2:3" x14ac:dyDescent="0.25">
      <c r="B52" s="19" t="s">
        <v>54</v>
      </c>
      <c r="C52" s="13">
        <f>C47+C50+C51</f>
        <v>1314283.9602000001</v>
      </c>
    </row>
    <row r="54" spans="2:3" x14ac:dyDescent="0.25">
      <c r="B54" t="s">
        <v>48</v>
      </c>
      <c r="C54" s="13">
        <v>895000</v>
      </c>
    </row>
    <row r="55" spans="2:3" x14ac:dyDescent="0.25">
      <c r="B55" t="s">
        <v>49</v>
      </c>
      <c r="C55" s="13">
        <f>C52-C54</f>
        <v>419283.96020000009</v>
      </c>
    </row>
    <row r="56" spans="2:3" x14ac:dyDescent="0.25">
      <c r="B56" t="s">
        <v>50</v>
      </c>
      <c r="C56" s="18">
        <f>C54/C52</f>
        <v>0.68097916972509054</v>
      </c>
    </row>
    <row r="58" spans="2:3" x14ac:dyDescent="0.25">
      <c r="B58" s="19" t="s">
        <v>55</v>
      </c>
      <c r="C58" s="13">
        <f>C52*(0.8-C56)</f>
        <v>156427.16816000012</v>
      </c>
    </row>
  </sheetData>
  <sortState ref="A2:D46">
    <sortCondition ref="D2:D4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Lyle</dc:creator>
  <cp:lastModifiedBy>Geoff Lyle</cp:lastModifiedBy>
  <dcterms:created xsi:type="dcterms:W3CDTF">2015-07-03T15:43:39Z</dcterms:created>
  <dcterms:modified xsi:type="dcterms:W3CDTF">2015-07-03T16:49:49Z</dcterms:modified>
</cp:coreProperties>
</file>